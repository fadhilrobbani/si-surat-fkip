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8800" windowHeight="11580"/>
  </bookViews>
  <sheets>
    <sheet name="Visitasi Akreditasi" sheetId="4" r:id="rId1"/>
    <sheet name="Semnas &amp; AMI" sheetId="6" r:id="rId2"/>
    <sheet name="OPERASIONAL" sheetId="7" r:id="rId3"/>
    <sheet name="REKAP" sheetId="2" r:id="rId4"/>
    <sheet name="NOV-D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6" i="5" l="1"/>
  <c r="D44" i="5"/>
  <c r="D43" i="5"/>
  <c r="D22" i="5"/>
  <c r="D21" i="5"/>
  <c r="H15" i="2"/>
  <c r="F15" i="2"/>
  <c r="O12" i="2"/>
  <c r="N12" i="2"/>
  <c r="M12" i="2"/>
  <c r="L12" i="2"/>
  <c r="K12" i="2"/>
  <c r="J12" i="2"/>
  <c r="I12" i="2"/>
  <c r="H12" i="2"/>
  <c r="G12" i="2"/>
  <c r="F12" i="2"/>
  <c r="E12" i="2"/>
  <c r="O11" i="2"/>
  <c r="G11" i="2"/>
  <c r="O10" i="2"/>
  <c r="G10" i="2"/>
  <c r="O9" i="2"/>
  <c r="G9" i="2"/>
  <c r="O8" i="2"/>
  <c r="G8" i="2"/>
  <c r="O7" i="2"/>
  <c r="G7" i="2"/>
  <c r="O6" i="2"/>
  <c r="G6" i="2"/>
  <c r="E43" i="6"/>
  <c r="D41" i="6"/>
  <c r="D40" i="6"/>
  <c r="D22" i="6"/>
  <c r="D21" i="6"/>
  <c r="C45" i="4"/>
  <c r="C43" i="4"/>
  <c r="E25" i="4"/>
  <c r="D22" i="4"/>
  <c r="D21" i="4"/>
  <c r="E20" i="4"/>
</calcChain>
</file>

<file path=xl/sharedStrings.xml><?xml version="1.0" encoding="utf-8"?>
<sst xmlns="http://schemas.openxmlformats.org/spreadsheetml/2006/main" count="198" uniqueCount="105">
  <si>
    <t>KEMENTERIAN PENDIDIKAN  TINGGI, SAINS DAN TEKNOLOGI</t>
  </si>
  <si>
    <t xml:space="preserve">UNIVERSITAS BENGKULU </t>
  </si>
  <si>
    <t xml:space="preserve">FAKULTAS KEGURUAN DAN ILMU PENDIDIKAN </t>
  </si>
  <si>
    <t>JURUSAN PENDIDIKAN MIPA</t>
  </si>
  <si>
    <t>PROGRAM STUDI PENDIDIKAN KIMIA</t>
  </si>
  <si>
    <t>Jl. WR. Supratman Kandang Limun Bengkulu 38371A</t>
  </si>
  <si>
    <t>Telepon (0736) 21186 Faksimile : (0736) 21186</t>
  </si>
  <si>
    <t>Laman: www.fkip.unib.ac.id e-mail: dekanat.fkip@unib.ac.id</t>
  </si>
  <si>
    <t>Nomor</t>
  </si>
  <si>
    <t>: 077//UN30.7.10/KU/2026</t>
  </si>
  <si>
    <t>9 September 2024</t>
  </si>
  <si>
    <t>08 Juni 2026</t>
  </si>
  <si>
    <t xml:space="preserve">Perihal </t>
  </si>
  <si>
    <t>: Usulan Pengajuan Dana Visitasi  Prodi Pendidikan Kimia</t>
  </si>
  <si>
    <t xml:space="preserve">  JPMIPA FKIP Universitas Bengkulu</t>
  </si>
  <si>
    <t>Yth. Wakil Dekan Bidang Keuangan dan Umum</t>
  </si>
  <si>
    <t xml:space="preserve">        FKIP Universitas Bengkulu</t>
  </si>
  <si>
    <t>Bersama ini kami mengusulkan ajuan dana Visitasi Lamdik kegiatan Program Studi S1 Pendidikan Kimia Jurusan Pendidikan MIPA FKIP Universitas Bengkulu Tahun Anggaran 2026 dengan rincian sebagai berikut :</t>
  </si>
  <si>
    <t>No</t>
  </si>
  <si>
    <t>Kegiatan/Sub Kegiatan</t>
  </si>
  <si>
    <t>Kode Akun &amp; MAK</t>
  </si>
  <si>
    <t>Jumlah</t>
  </si>
  <si>
    <t>Jumlah Total</t>
  </si>
  <si>
    <t>Visitasi Akreditasi Lamdik</t>
  </si>
  <si>
    <t>7730.DBA.001.0.BB FKUN.BLU.068</t>
  </si>
  <si>
    <t xml:space="preserve">Konsumsi Snack </t>
  </si>
  <si>
    <t>Konsumsi Nasi</t>
  </si>
  <si>
    <t>Fotokopi</t>
  </si>
  <si>
    <t>Cetak Spanduk</t>
  </si>
  <si>
    <t>Atas perhatian dan kerjasama yang baik kami ucapkan terimakasih.</t>
  </si>
  <si>
    <t>Plt. Koordinator Prodi</t>
  </si>
  <si>
    <t>Wiwit, M.Si., Ph.D</t>
  </si>
  <si>
    <t>NIP 198205122008122002</t>
  </si>
  <si>
    <t xml:space="preserve">Persiapan Akreditasi </t>
  </si>
  <si>
    <t>Pembuatan profil video</t>
  </si>
  <si>
    <t>Workshop RPS</t>
  </si>
  <si>
    <t>Workshop Kurikulum</t>
  </si>
  <si>
    <t xml:space="preserve">Pajak </t>
  </si>
  <si>
    <t xml:space="preserve">KEMENTERIAN PENDIDIKAN  TINGGI, </t>
  </si>
  <si>
    <t>SAINS DAN TEKNOLOGI</t>
  </si>
  <si>
    <t>Jl. WR. Supratman, Kandang Limun, Bengkulu 383122</t>
  </si>
  <si>
    <t>Telepon : (0736) 21170 Laman: www.fkip.unib.ac.id e-mail: fkip@unib.ac.id</t>
  </si>
  <si>
    <t>: 140/DST/UN30.7.11/KU.01.02/2026</t>
  </si>
  <si>
    <t>12 Agustus 2026</t>
  </si>
  <si>
    <t>: Usulan Pengajuan Dana Pengembangan Prodi Pendidikan Kimia</t>
  </si>
  <si>
    <t>Sehubungan dengan akan dilaksanakannya Kegiatan  Seminar Nasional dan Persiapan Audit Mutu Internal, bersama ini kami mengusulkan ajuan dana pengembangan Program Studi S1 Pendidikan Kimia Jurusan Pendidikan MIPA FKIP Universitas Bengkulu Tahun Anggaran 2026 dengan rincian sebagai berikut :</t>
  </si>
  <si>
    <t xml:space="preserve">Seminar Nasional Pendidikan Kimia </t>
  </si>
  <si>
    <t>7730.DBA.001.054.IB FKUN.BLU.082</t>
  </si>
  <si>
    <t>Snack Persiapan (10 org x 3 kali)</t>
  </si>
  <si>
    <t>Snack Penyusunan Proseding (10 org x 5 hari)</t>
  </si>
  <si>
    <t>Snack Pelaksanaan (1 narasumber, 94 peserta, 1 MC, 2 moderator 2 Panitia, )</t>
  </si>
  <si>
    <t>KIT Seminar (tas, Buku Seminar, name tag, note book, pena)</t>
  </si>
  <si>
    <t>Cetak Laporan</t>
  </si>
  <si>
    <t>Cetak Spanduk (5 x 2 meter : 2 bh)</t>
  </si>
  <si>
    <t>Honor Narasumber Luar Unib (2 org x 2 jam)</t>
  </si>
  <si>
    <t>Honor Moderator</t>
  </si>
  <si>
    <t>Honor Panitia Non PNS</t>
  </si>
  <si>
    <t>Taksi Rumah-Bandara (2 org PP)</t>
  </si>
  <si>
    <t>Tiket PP(1 org) Narasumber Internasional</t>
  </si>
  <si>
    <t>Tiket PP (1 org) Narasumber Nasional</t>
  </si>
  <si>
    <t>Hotel (2 org x 2 malam)</t>
  </si>
  <si>
    <t>Persiapan Audit Mutu Internal</t>
  </si>
  <si>
    <t>7730.DBA.001.054.BB FKUN.BLU.078</t>
  </si>
  <si>
    <t>Snack Tim AMI dan Auditor</t>
  </si>
  <si>
    <t>Snack Persiapan (12 org x 7 kali)</t>
  </si>
  <si>
    <t>Koordinator Prodi</t>
  </si>
  <si>
    <t>Wiwit, M.Si., Ph.D.</t>
  </si>
  <si>
    <t>NIP 19820512 200812 2 002</t>
  </si>
  <si>
    <t>: 139/DST/UN30.7.11/KU.01.02/2026</t>
  </si>
  <si>
    <t>: Usulan Pengajuan Dana Operasional Prodi Pendidikan Kimia</t>
  </si>
  <si>
    <t>Bersama ini kami mengusulkan ajuan dana operasional Program Studi S1 Pendidikan Kimia Jurusan Pendidikan MIPA FKIP Universitas Bengkulu Tahun Anggaran 2026 dengan rincian sebagai berikut :</t>
  </si>
  <si>
    <t xml:space="preserve">Jumlah </t>
  </si>
  <si>
    <t>Dana Operasional bulan Juni - Juli 2026</t>
  </si>
  <si>
    <t>Daftar rincian rencana penggunaan TUP FKIP UNIB</t>
  </si>
  <si>
    <t>Bulan : September 2023</t>
  </si>
  <si>
    <t>Kode Output</t>
  </si>
  <si>
    <t xml:space="preserve"> Pagu (Rp) </t>
  </si>
  <si>
    <t xml:space="preserve"> Belanja Bulan Lalu (Rp) </t>
  </si>
  <si>
    <t xml:space="preserve"> Rencana TUP </t>
  </si>
  <si>
    <t xml:space="preserve"> Jumlah MAK </t>
  </si>
  <si>
    <t xml:space="preserve"> Saldo </t>
  </si>
  <si>
    <t xml:space="preserve"> No. Formulir</t>
  </si>
  <si>
    <t>Kuliah Umum</t>
  </si>
  <si>
    <t>4471.DBA.001.060.BC FKMA.BLU.013</t>
  </si>
  <si>
    <t>Temu Alumni</t>
  </si>
  <si>
    <t>4471.DBA.003.053.A FKMA.BLU.014</t>
  </si>
  <si>
    <t>Kegiatan Tahunan ISMAPI</t>
  </si>
  <si>
    <r>
      <rPr>
        <b/>
        <sz val="10"/>
        <color theme="1"/>
        <rFont val="Calibri Light"/>
        <charset val="134"/>
        <scheme val="major"/>
      </rPr>
      <t xml:space="preserve">4471.DBA.003.053.A </t>
    </r>
    <r>
      <rPr>
        <b/>
        <sz val="10"/>
        <color indexed="8"/>
        <rFont val="Calibri Light"/>
        <charset val="134"/>
        <scheme val="major"/>
      </rPr>
      <t>FKMA.BLU.040</t>
    </r>
  </si>
  <si>
    <t>Seminar Nasional</t>
  </si>
  <si>
    <t>4471.DBA.001.060.MC FKMA.BLU.022</t>
  </si>
  <si>
    <t>Dosen Tamu Mengajar</t>
  </si>
  <si>
    <t>4471.DBA.001.060.BC FKMA.BLU.043</t>
  </si>
  <si>
    <t>Honorarium Tim Monitoring Perkuliahan</t>
  </si>
  <si>
    <t>4471.DBA.001.060.NC FKMA.BLU.021</t>
  </si>
  <si>
    <t>Rincian Pengeluaran Dana</t>
  </si>
  <si>
    <t>:</t>
  </si>
  <si>
    <t>TUP  FKIP UNIB Tahun Anggaran 2023</t>
  </si>
  <si>
    <t>Bengkulu,     September  2023</t>
  </si>
  <si>
    <t>Pejabat Pembuat Komitmen</t>
  </si>
  <si>
    <t>Bendahara Pengeluaran Pembantu</t>
  </si>
  <si>
    <t xml:space="preserve">FKIP UNIB </t>
  </si>
  <si>
    <t>Suganda, SE, M.M</t>
  </si>
  <si>
    <t>Yosi Komalasari, S.IP</t>
  </si>
  <si>
    <t>NIP 19620401 198601 2 002</t>
  </si>
  <si>
    <t>NIP. 19831211 201409 2 002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</si>
</sst>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30">
    <font>
      <sz val="11"/>
      <color theme="1"/>
      <name val="Calibri"/>
      <charset val="134"/>
      <scheme val="minor"/>
    </font>
    <font>
      <b/>
      <sz val="11"/>
      <name val="Times New Roman"/>
      <charset val="134"/>
    </font>
    <font>
      <sz val="11"/>
      <name val="Times New Roman"/>
      <charset val="134"/>
    </font>
    <font>
      <sz val="16"/>
      <name val="Times New Roman"/>
      <charset val="134"/>
    </font>
    <font>
      <sz val="14"/>
      <color theme="1"/>
      <name val="Times New Roman"/>
      <charset val="134"/>
    </font>
    <font>
      <b/>
      <sz val="14"/>
      <color theme="1"/>
      <name val="Times New Roman"/>
      <charset val="134"/>
    </font>
    <font>
      <sz val="12"/>
      <color theme="1"/>
      <name val="Times New Roman"/>
      <charset val="134"/>
    </font>
    <font>
      <sz val="12"/>
      <color indexed="8"/>
      <name val="Times New Roman"/>
      <charset val="134"/>
    </font>
    <font>
      <sz val="12"/>
      <name val="Times New Roman"/>
      <charset val="134"/>
    </font>
    <font>
      <b/>
      <sz val="12"/>
      <name val="Times New Roman"/>
      <charset val="134"/>
    </font>
    <font>
      <b/>
      <sz val="12"/>
      <color theme="1"/>
      <name val="Times New Roman"/>
      <charset val="134"/>
    </font>
    <font>
      <sz val="11"/>
      <color theme="1"/>
      <name val="Times New Roman"/>
      <charset val="134"/>
    </font>
    <font>
      <sz val="10"/>
      <color theme="1"/>
      <name val="Calibri Light"/>
      <charset val="134"/>
      <scheme val="major"/>
    </font>
    <font>
      <b/>
      <sz val="10"/>
      <color theme="1"/>
      <name val="Calibri Light"/>
      <charset val="134"/>
      <scheme val="major"/>
    </font>
    <font>
      <b/>
      <sz val="10"/>
      <name val="Calibri Light"/>
      <charset val="134"/>
      <scheme val="major"/>
    </font>
    <font>
      <sz val="10"/>
      <name val="Calibri Light"/>
      <charset val="134"/>
      <scheme val="major"/>
    </font>
    <font>
      <b/>
      <sz val="10"/>
      <color theme="0"/>
      <name val="Calibri Light"/>
      <charset val="134"/>
      <scheme val="major"/>
    </font>
    <font>
      <b/>
      <sz val="11"/>
      <name val="Arial Narrow"/>
      <charset val="134"/>
    </font>
    <font>
      <sz val="11"/>
      <name val="Arial Narrow"/>
      <charset val="134"/>
    </font>
    <font>
      <sz val="12"/>
      <name val="Arial Narrow"/>
      <charset val="134"/>
    </font>
    <font>
      <sz val="12"/>
      <color theme="1"/>
      <name val="Arial Narrow"/>
      <charset val="134"/>
    </font>
    <font>
      <b/>
      <sz val="12"/>
      <color theme="1"/>
      <name val="Arial Narrow"/>
      <charset val="134"/>
    </font>
    <font>
      <u/>
      <sz val="12"/>
      <name val="Arial Narrow"/>
      <charset val="134"/>
    </font>
    <font>
      <sz val="12"/>
      <color indexed="8"/>
      <name val="Arial Narrow"/>
      <charset val="134"/>
    </font>
    <font>
      <b/>
      <sz val="12"/>
      <name val="Arial Narrow"/>
      <charset val="134"/>
    </font>
    <font>
      <sz val="11"/>
      <color theme="1"/>
      <name val="Arial Narrow"/>
      <charset val="134"/>
    </font>
    <font>
      <u/>
      <sz val="11"/>
      <name val="Arial Narrow"/>
      <charset val="134"/>
    </font>
    <font>
      <sz val="11"/>
      <color theme="1"/>
      <name val="Calibri"/>
      <charset val="134"/>
      <scheme val="minor"/>
    </font>
    <font>
      <u/>
      <sz val="11"/>
      <color theme="10"/>
      <name val="Calibri"/>
      <charset val="134"/>
      <scheme val="minor"/>
    </font>
    <font>
      <b/>
      <sz val="10"/>
      <color indexed="8"/>
      <name val="Calibri Light"/>
      <charset val="134"/>
      <scheme val="major"/>
    </font>
  </fonts>
  <fills count="4">
    <fill>
      <patternFill patternType="none"/>
    </fill>
    <fill>
      <patternFill patternType="gray125"/>
    </fill>
    <fill>
      <patternFill patternType="solid">
        <fgColor theme="0" tint="-0.14996795556505021"/>
        <bgColor indexed="64"/>
      </patternFill>
    </fill>
    <fill>
      <patternFill patternType="solid">
        <fgColor theme="0"/>
        <bgColor indexed="64"/>
      </patternFill>
    </fill>
  </fills>
  <borders count="10">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s>
  <cellStyleXfs count="4">
    <xf numFmtId="0" fontId="0" fillId="0" borderId="0"/>
    <xf numFmtId="164" fontId="27" fillId="0" borderId="0" applyFont="0" applyFill="0" applyBorder="0" applyAlignment="0" applyProtection="0"/>
    <xf numFmtId="165" fontId="27" fillId="0" borderId="0" applyFont="0" applyFill="0" applyBorder="0" applyAlignment="0" applyProtection="0"/>
    <xf numFmtId="0" fontId="28" fillId="0" borderId="0" applyNumberFormat="0" applyFill="0" applyBorder="0" applyAlignment="0" applyProtection="0"/>
  </cellStyleXfs>
  <cellXfs count="156">
    <xf numFmtId="0" fontId="0" fillId="0" borderId="0" xfId="0"/>
    <xf numFmtId="0" fontId="1" fillId="0" borderId="0" xfId="0" applyFont="1" applyAlignment="1">
      <alignment horizontal="center"/>
    </xf>
    <xf numFmtId="0" fontId="1" fillId="0" borderId="0" xfId="0" applyFont="1" applyAlignment="1">
      <alignment vertical="top"/>
    </xf>
    <xf numFmtId="0" fontId="2" fillId="0" borderId="0" xfId="0" applyFont="1" applyAlignment="1">
      <alignment vertical="top"/>
    </xf>
    <xf numFmtId="0" fontId="2" fillId="0" borderId="0" xfId="0" applyFont="1"/>
    <xf numFmtId="0" fontId="2" fillId="0" borderId="0" xfId="0" applyFont="1" applyAlignment="1">
      <alignment horizontal="left"/>
    </xf>
    <xf numFmtId="3" fontId="2" fillId="0" borderId="0" xfId="0" applyNumberFormat="1" applyFont="1" applyAlignment="1">
      <alignment horizontal="right"/>
    </xf>
    <xf numFmtId="0" fontId="6" fillId="0" borderId="0" xfId="0" applyFont="1" applyAlignment="1">
      <alignment horizontal="center" vertical="center"/>
    </xf>
    <xf numFmtId="0" fontId="6" fillId="0" borderId="0" xfId="0" applyFont="1" applyAlignment="1">
      <alignment horizontal="left"/>
    </xf>
    <xf numFmtId="0" fontId="7" fillId="0" borderId="0" xfId="0" applyFont="1"/>
    <xf numFmtId="0" fontId="7" fillId="0" borderId="0" xfId="0" applyFont="1" applyAlignment="1">
      <alignment horizontal="left"/>
    </xf>
    <xf numFmtId="3" fontId="8" fillId="0" borderId="0" xfId="0" applyNumberFormat="1" applyFont="1" applyAlignment="1">
      <alignment horizontal="right"/>
    </xf>
    <xf numFmtId="0" fontId="8" fillId="0" borderId="0" xfId="0" applyFont="1"/>
    <xf numFmtId="0" fontId="8" fillId="0" borderId="0" xfId="0" applyFont="1" applyAlignment="1">
      <alignment horizontal="left"/>
    </xf>
    <xf numFmtId="0" fontId="9" fillId="0" borderId="2" xfId="0" applyFont="1" applyBorder="1" applyAlignment="1">
      <alignment horizontal="center" vertical="center"/>
    </xf>
    <xf numFmtId="3" fontId="9" fillId="0" borderId="2" xfId="0" applyNumberFormat="1" applyFont="1" applyBorder="1" applyAlignment="1">
      <alignment horizontal="center" vertical="center"/>
    </xf>
    <xf numFmtId="3" fontId="9" fillId="0" borderId="2" xfId="0" applyNumberFormat="1" applyFont="1" applyBorder="1" applyAlignment="1">
      <alignment horizontal="center" vertical="center" wrapText="1"/>
    </xf>
    <xf numFmtId="0" fontId="9" fillId="2" borderId="2" xfId="0" applyFont="1" applyFill="1" applyBorder="1" applyAlignment="1">
      <alignment horizontal="center" vertical="top"/>
    </xf>
    <xf numFmtId="0" fontId="10" fillId="2" borderId="2" xfId="0" applyFont="1" applyFill="1" applyBorder="1" applyAlignment="1">
      <alignment horizontal="left" vertical="top" wrapText="1"/>
    </xf>
    <xf numFmtId="0" fontId="1" fillId="2" borderId="2" xfId="0" applyFont="1" applyFill="1" applyBorder="1" applyAlignment="1">
      <alignment horizontal="left" vertical="top" wrapText="1"/>
    </xf>
    <xf numFmtId="3" fontId="10" fillId="2" borderId="2" xfId="0" applyNumberFormat="1" applyFont="1" applyFill="1" applyBorder="1" applyAlignment="1">
      <alignment horizontal="right" vertical="top" wrapText="1"/>
    </xf>
    <xf numFmtId="3" fontId="9" fillId="2" borderId="2" xfId="1" applyNumberFormat="1" applyFont="1" applyFill="1" applyBorder="1" applyAlignment="1">
      <alignment horizontal="right" vertical="top" wrapText="1"/>
    </xf>
    <xf numFmtId="0" fontId="8" fillId="0" borderId="2" xfId="0" applyFont="1" applyBorder="1" applyAlignment="1">
      <alignment horizontal="center" vertical="top"/>
    </xf>
    <xf numFmtId="0" fontId="8" fillId="0" borderId="3" xfId="0" applyFont="1" applyBorder="1" applyAlignment="1">
      <alignment vertical="center" wrapText="1"/>
    </xf>
    <xf numFmtId="0" fontId="8" fillId="0" borderId="2" xfId="0" applyFont="1" applyBorder="1" applyAlignment="1">
      <alignment horizontal="left" vertical="top"/>
    </xf>
    <xf numFmtId="3" fontId="8" fillId="0" borderId="2" xfId="0" applyNumberFormat="1" applyFont="1" applyBorder="1" applyAlignment="1">
      <alignment horizontal="right" vertical="top"/>
    </xf>
    <xf numFmtId="3" fontId="8" fillId="0" borderId="3" xfId="0" applyNumberFormat="1" applyFont="1" applyBorder="1" applyAlignment="1">
      <alignment horizontal="right" vertical="center" wrapText="1"/>
    </xf>
    <xf numFmtId="0" fontId="8" fillId="0" borderId="2" xfId="0" applyFont="1" applyBorder="1" applyAlignment="1">
      <alignment vertical="top"/>
    </xf>
    <xf numFmtId="3" fontId="6" fillId="0" borderId="2" xfId="0" applyNumberFormat="1" applyFont="1" applyBorder="1" applyAlignment="1">
      <alignment horizontal="right" vertical="top" wrapText="1"/>
    </xf>
    <xf numFmtId="3" fontId="6" fillId="2" borderId="2" xfId="0" applyNumberFormat="1" applyFont="1" applyFill="1" applyBorder="1" applyAlignment="1">
      <alignment horizontal="right" vertical="top" wrapText="1"/>
    </xf>
    <xf numFmtId="3" fontId="9" fillId="2" borderId="2" xfId="1" applyNumberFormat="1" applyFont="1" applyFill="1" applyBorder="1" applyAlignment="1">
      <alignment horizontal="right" vertical="top"/>
    </xf>
    <xf numFmtId="0" fontId="6" fillId="0" borderId="2" xfId="0" applyFont="1" applyBorder="1" applyAlignment="1">
      <alignment horizontal="left" vertical="top" wrapText="1"/>
    </xf>
    <xf numFmtId="0" fontId="8" fillId="0" borderId="2" xfId="0" applyFont="1" applyBorder="1" applyAlignment="1">
      <alignment horizontal="left" vertical="top" wrapText="1"/>
    </xf>
    <xf numFmtId="3" fontId="8" fillId="0" borderId="2" xfId="1" applyNumberFormat="1" applyFont="1" applyBorder="1" applyAlignment="1">
      <alignment horizontal="right" vertical="top"/>
    </xf>
    <xf numFmtId="0" fontId="6" fillId="0" borderId="2" xfId="0" applyFont="1" applyBorder="1" applyAlignment="1">
      <alignment vertical="top" wrapText="1"/>
    </xf>
    <xf numFmtId="0" fontId="9" fillId="2" borderId="2" xfId="0" applyFont="1" applyFill="1" applyBorder="1" applyAlignment="1">
      <alignment vertical="center"/>
    </xf>
    <xf numFmtId="0" fontId="9" fillId="2" borderId="2" xfId="0" applyFont="1" applyFill="1" applyBorder="1" applyAlignment="1">
      <alignment horizontal="center" vertical="center"/>
    </xf>
    <xf numFmtId="0" fontId="8" fillId="2" borderId="2" xfId="0" applyFont="1" applyFill="1" applyBorder="1" applyAlignment="1">
      <alignment horizontal="left" vertical="center"/>
    </xf>
    <xf numFmtId="3" fontId="9" fillId="2" borderId="2" xfId="0" applyNumberFormat="1" applyFont="1" applyFill="1" applyBorder="1" applyAlignment="1">
      <alignment horizontal="right" vertical="center"/>
    </xf>
    <xf numFmtId="3" fontId="9" fillId="2" borderId="2" xfId="2" applyNumberFormat="1" applyFont="1" applyFill="1" applyBorder="1" applyAlignment="1">
      <alignment horizontal="right" vertical="center"/>
    </xf>
    <xf numFmtId="0" fontId="7" fillId="0" borderId="0" xfId="0" applyFont="1" applyAlignment="1">
      <alignment vertical="center"/>
    </xf>
    <xf numFmtId="0" fontId="11"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center"/>
    </xf>
    <xf numFmtId="0" fontId="12" fillId="3" borderId="0" xfId="0" applyFont="1" applyFill="1" applyAlignment="1">
      <alignment horizontal="center" vertical="center"/>
    </xf>
    <xf numFmtId="0" fontId="12" fillId="3" borderId="0" xfId="0" applyFont="1" applyFill="1"/>
    <xf numFmtId="3" fontId="12" fillId="3" borderId="0" xfId="0" applyNumberFormat="1" applyFont="1" applyFill="1"/>
    <xf numFmtId="165" fontId="12" fillId="3" borderId="0" xfId="2" applyFont="1" applyFill="1"/>
    <xf numFmtId="0" fontId="12" fillId="3" borderId="0" xfId="0" applyFont="1" applyFill="1" applyAlignment="1">
      <alignment vertical="center"/>
    </xf>
    <xf numFmtId="3" fontId="12" fillId="3" borderId="0" xfId="0" applyNumberFormat="1" applyFont="1" applyFill="1" applyAlignment="1">
      <alignment vertical="center"/>
    </xf>
    <xf numFmtId="0" fontId="13" fillId="3" borderId="4" xfId="0" applyFont="1" applyFill="1" applyBorder="1" applyAlignment="1">
      <alignment horizontal="center" vertical="center" wrapText="1"/>
    </xf>
    <xf numFmtId="0" fontId="13" fillId="3" borderId="8" xfId="0" applyFont="1" applyFill="1" applyBorder="1" applyAlignment="1">
      <alignment horizontal="center" vertical="center"/>
    </xf>
    <xf numFmtId="1" fontId="13" fillId="3" borderId="2" xfId="0" applyNumberFormat="1" applyFont="1" applyFill="1" applyBorder="1" applyAlignment="1">
      <alignment horizontal="center" vertical="center" wrapText="1"/>
    </xf>
    <xf numFmtId="1" fontId="13" fillId="3" borderId="2" xfId="0" applyNumberFormat="1" applyFont="1" applyFill="1" applyBorder="1" applyAlignment="1">
      <alignment horizontal="center" vertical="center"/>
    </xf>
    <xf numFmtId="0" fontId="12" fillId="3" borderId="2" xfId="0" applyFont="1" applyFill="1" applyBorder="1" applyAlignment="1">
      <alignment horizontal="center" vertical="center"/>
    </xf>
    <xf numFmtId="0" fontId="12" fillId="3" borderId="2" xfId="0" applyFont="1" applyFill="1" applyBorder="1" applyAlignment="1">
      <alignment horizontal="left" vertical="center" wrapText="1"/>
    </xf>
    <xf numFmtId="0" fontId="14" fillId="0" borderId="2" xfId="0" applyFont="1" applyBorder="1" applyAlignment="1">
      <alignment horizontal="left" vertical="center" wrapText="1"/>
    </xf>
    <xf numFmtId="3" fontId="12" fillId="3" borderId="2" xfId="2" applyNumberFormat="1" applyFont="1" applyFill="1" applyBorder="1" applyAlignment="1">
      <alignment horizontal="right" vertical="center"/>
    </xf>
    <xf numFmtId="165" fontId="12" fillId="3" borderId="0" xfId="2" applyFont="1" applyFill="1" applyAlignment="1">
      <alignment horizontal="center" vertical="center"/>
    </xf>
    <xf numFmtId="0" fontId="12" fillId="0" borderId="2" xfId="0" applyFont="1" applyBorder="1" applyAlignment="1">
      <alignment vertical="center" wrapText="1"/>
    </xf>
    <xf numFmtId="0" fontId="13" fillId="0" borderId="2" xfId="0" applyFont="1" applyBorder="1" applyAlignment="1">
      <alignment horizontal="left" vertical="center" wrapText="1"/>
    </xf>
    <xf numFmtId="0" fontId="15" fillId="0" borderId="2" xfId="0" applyFont="1" applyBorder="1" applyAlignment="1">
      <alignment horizontal="left" vertical="center" wrapText="1"/>
    </xf>
    <xf numFmtId="0" fontId="15" fillId="0" borderId="2" xfId="0" applyFont="1" applyBorder="1" applyAlignment="1">
      <alignment vertical="center"/>
    </xf>
    <xf numFmtId="3" fontId="13" fillId="3" borderId="2" xfId="2" applyNumberFormat="1" applyFont="1" applyFill="1" applyBorder="1" applyAlignment="1">
      <alignment horizontal="right" vertical="center"/>
    </xf>
    <xf numFmtId="0" fontId="14" fillId="3" borderId="0" xfId="0" applyFont="1" applyFill="1" applyAlignment="1">
      <alignment vertical="center"/>
    </xf>
    <xf numFmtId="0" fontId="15" fillId="3" borderId="0" xfId="0" applyFont="1" applyFill="1" applyAlignment="1">
      <alignment vertical="center"/>
    </xf>
    <xf numFmtId="3" fontId="15" fillId="3" borderId="0" xfId="0" applyNumberFormat="1" applyFont="1" applyFill="1" applyAlignment="1">
      <alignment horizontal="right" vertical="center"/>
    </xf>
    <xf numFmtId="3" fontId="15" fillId="3" borderId="0" xfId="2" applyNumberFormat="1" applyFont="1" applyFill="1" applyAlignment="1">
      <alignment vertical="center"/>
    </xf>
    <xf numFmtId="3" fontId="15" fillId="3" borderId="0" xfId="0" applyNumberFormat="1" applyFont="1" applyFill="1" applyAlignment="1">
      <alignment horizontal="center" vertical="center"/>
    </xf>
    <xf numFmtId="3" fontId="15" fillId="3" borderId="0" xfId="0" applyNumberFormat="1" applyFont="1" applyFill="1" applyAlignment="1">
      <alignment vertical="center"/>
    </xf>
    <xf numFmtId="3" fontId="14" fillId="3" borderId="0" xfId="2" applyNumberFormat="1" applyFont="1" applyFill="1" applyAlignment="1">
      <alignment horizontal="center" vertical="center" wrapText="1"/>
    </xf>
    <xf numFmtId="3" fontId="16" fillId="3" borderId="0" xfId="2" applyNumberFormat="1" applyFont="1" applyFill="1" applyAlignment="1">
      <alignment horizontal="center" vertical="center" wrapText="1"/>
    </xf>
    <xf numFmtId="3" fontId="15" fillId="3" borderId="0" xfId="2" applyNumberFormat="1" applyFont="1" applyFill="1" applyAlignment="1">
      <alignment horizontal="left" vertical="center" wrapText="1"/>
    </xf>
    <xf numFmtId="3" fontId="15" fillId="3" borderId="0" xfId="0" applyNumberFormat="1" applyFont="1" applyFill="1" applyAlignment="1">
      <alignment horizontal="left" vertical="center" wrapText="1"/>
    </xf>
    <xf numFmtId="3" fontId="15" fillId="3" borderId="0" xfId="2" applyNumberFormat="1" applyFont="1" applyFill="1" applyAlignment="1">
      <alignment vertical="center" wrapText="1"/>
    </xf>
    <xf numFmtId="3" fontId="15" fillId="3" borderId="0" xfId="0" applyNumberFormat="1" applyFont="1" applyFill="1" applyAlignment="1">
      <alignment horizontal="center" vertical="center" wrapText="1"/>
    </xf>
    <xf numFmtId="3" fontId="15" fillId="3" borderId="0" xfId="2" applyNumberFormat="1" applyFont="1" applyFill="1" applyAlignment="1">
      <alignment horizontal="left" vertical="center"/>
    </xf>
    <xf numFmtId="3" fontId="15" fillId="3" borderId="0" xfId="0" applyNumberFormat="1" applyFont="1" applyFill="1" applyAlignment="1">
      <alignment horizontal="left" vertical="center"/>
    </xf>
    <xf numFmtId="0" fontId="15" fillId="0" borderId="0" xfId="0" applyFont="1"/>
    <xf numFmtId="3" fontId="15" fillId="3" borderId="0" xfId="2" applyNumberFormat="1" applyFont="1" applyFill="1" applyBorder="1" applyAlignment="1">
      <alignment vertical="center"/>
    </xf>
    <xf numFmtId="0" fontId="1" fillId="0" borderId="0" xfId="0" applyFont="1" applyAlignment="1">
      <alignment vertical="center"/>
    </xf>
    <xf numFmtId="3" fontId="10" fillId="2" borderId="2" xfId="0" applyNumberFormat="1" applyFont="1" applyFill="1" applyBorder="1" applyAlignment="1">
      <alignment horizontal="right" vertical="center" wrapText="1"/>
    </xf>
    <xf numFmtId="3" fontId="9" fillId="2" borderId="2" xfId="1" applyNumberFormat="1" applyFont="1" applyFill="1" applyBorder="1" applyAlignment="1">
      <alignment horizontal="center" vertical="center" wrapText="1"/>
    </xf>
    <xf numFmtId="0" fontId="17" fillId="0" borderId="0" xfId="0" applyFont="1" applyAlignment="1">
      <alignment horizontal="center"/>
    </xf>
    <xf numFmtId="0" fontId="17" fillId="0" borderId="0" xfId="0" applyFont="1" applyAlignment="1">
      <alignment vertical="top"/>
    </xf>
    <xf numFmtId="0" fontId="18" fillId="0" borderId="0" xfId="0" applyFont="1" applyAlignment="1">
      <alignment vertical="top"/>
    </xf>
    <xf numFmtId="0" fontId="18" fillId="0" borderId="0" xfId="0" applyFont="1"/>
    <xf numFmtId="3" fontId="18" fillId="0" borderId="0" xfId="0" applyNumberFormat="1" applyFont="1" applyAlignment="1">
      <alignment horizontal="left"/>
    </xf>
    <xf numFmtId="3" fontId="18" fillId="0" borderId="0" xfId="0" applyNumberFormat="1" applyFont="1" applyAlignment="1">
      <alignment horizontal="right"/>
    </xf>
    <xf numFmtId="0" fontId="20" fillId="0" borderId="0" xfId="0" applyFont="1" applyAlignment="1">
      <alignment horizontal="center" vertical="center"/>
    </xf>
    <xf numFmtId="3" fontId="20" fillId="0" borderId="0" xfId="0" applyNumberFormat="1" applyFont="1" applyAlignment="1">
      <alignment horizontal="center" vertical="center"/>
    </xf>
    <xf numFmtId="0" fontId="20" fillId="0" borderId="0" xfId="0" applyFont="1" applyAlignment="1">
      <alignment horizontal="left"/>
    </xf>
    <xf numFmtId="0" fontId="23" fillId="0" borderId="0" xfId="0" applyFont="1"/>
    <xf numFmtId="3" fontId="23" fillId="0" borderId="0" xfId="0" applyNumberFormat="1" applyFont="1" applyAlignment="1">
      <alignment horizontal="left"/>
    </xf>
    <xf numFmtId="3" fontId="19" fillId="0" borderId="0" xfId="0" applyNumberFormat="1" applyFont="1" applyAlignment="1">
      <alignment horizontal="left"/>
    </xf>
    <xf numFmtId="3" fontId="19" fillId="0" borderId="0" xfId="0" applyNumberFormat="1" applyFont="1" applyAlignment="1">
      <alignment horizontal="right"/>
    </xf>
    <xf numFmtId="0" fontId="19" fillId="0" borderId="0" xfId="0" applyFont="1"/>
    <xf numFmtId="0" fontId="24" fillId="0" borderId="2" xfId="0" applyFont="1" applyBorder="1" applyAlignment="1">
      <alignment horizontal="center" vertical="center"/>
    </xf>
    <xf numFmtId="3" fontId="24" fillId="0" borderId="2" xfId="0" applyNumberFormat="1" applyFont="1" applyBorder="1" applyAlignment="1">
      <alignment horizontal="center" vertical="center"/>
    </xf>
    <xf numFmtId="3" fontId="24" fillId="0" borderId="2" xfId="0" applyNumberFormat="1" applyFont="1" applyBorder="1" applyAlignment="1">
      <alignment horizontal="center" vertical="center" wrapText="1"/>
    </xf>
    <xf numFmtId="0" fontId="24" fillId="2" borderId="2" xfId="0" applyFont="1" applyFill="1" applyBorder="1" applyAlignment="1">
      <alignment horizontal="center" vertical="top"/>
    </xf>
    <xf numFmtId="0" fontId="21" fillId="2" borderId="2" xfId="0" applyFont="1" applyFill="1" applyBorder="1" applyAlignment="1">
      <alignment horizontal="left" vertical="top" wrapText="1"/>
    </xf>
    <xf numFmtId="3" fontId="24" fillId="2" borderId="2" xfId="0" applyNumberFormat="1" applyFont="1" applyFill="1" applyBorder="1" applyAlignment="1">
      <alignment horizontal="left" vertical="top" wrapText="1"/>
    </xf>
    <xf numFmtId="3" fontId="21" fillId="2" borderId="2" xfId="0" applyNumberFormat="1" applyFont="1" applyFill="1" applyBorder="1" applyAlignment="1">
      <alignment horizontal="right" vertical="top" wrapText="1"/>
    </xf>
    <xf numFmtId="3" fontId="24" fillId="2" borderId="2" xfId="1" applyNumberFormat="1" applyFont="1" applyFill="1" applyBorder="1" applyAlignment="1">
      <alignment horizontal="right" vertical="top" wrapText="1"/>
    </xf>
    <xf numFmtId="0" fontId="19" fillId="0" borderId="2" xfId="0" applyFont="1" applyBorder="1" applyAlignment="1">
      <alignment horizontal="center" vertical="top"/>
    </xf>
    <xf numFmtId="0" fontId="25" fillId="0" borderId="3" xfId="0" applyFont="1" applyBorder="1" applyAlignment="1">
      <alignment vertical="center" wrapText="1"/>
    </xf>
    <xf numFmtId="3" fontId="19" fillId="0" borderId="2" xfId="0" applyNumberFormat="1" applyFont="1" applyBorder="1" applyAlignment="1">
      <alignment horizontal="left" vertical="top"/>
    </xf>
    <xf numFmtId="3" fontId="19" fillId="0" borderId="2" xfId="0" applyNumberFormat="1" applyFont="1" applyBorder="1" applyAlignment="1">
      <alignment horizontal="right" vertical="top"/>
    </xf>
    <xf numFmtId="3" fontId="25" fillId="0" borderId="3" xfId="0" applyNumberFormat="1" applyFont="1" applyBorder="1" applyAlignment="1">
      <alignment horizontal="right" vertical="center" wrapText="1"/>
    </xf>
    <xf numFmtId="3" fontId="19" fillId="0" borderId="2" xfId="0" applyNumberFormat="1" applyFont="1" applyBorder="1" applyAlignment="1">
      <alignment vertical="top"/>
    </xf>
    <xf numFmtId="3" fontId="20" fillId="0" borderId="2" xfId="0" applyNumberFormat="1" applyFont="1" applyBorder="1" applyAlignment="1">
      <alignment horizontal="right" vertical="top" wrapText="1"/>
    </xf>
    <xf numFmtId="0" fontId="25" fillId="0" borderId="0" xfId="0" applyFont="1" applyAlignment="1">
      <alignment vertical="center" wrapText="1"/>
    </xf>
    <xf numFmtId="3" fontId="25" fillId="0" borderId="0" xfId="0" applyNumberFormat="1" applyFont="1" applyAlignment="1">
      <alignment horizontal="right" vertical="center" wrapText="1"/>
    </xf>
    <xf numFmtId="0" fontId="24" fillId="2" borderId="2" xfId="0" applyFont="1" applyFill="1" applyBorder="1" applyAlignment="1">
      <alignment vertical="center"/>
    </xf>
    <xf numFmtId="0" fontId="24" fillId="2" borderId="2" xfId="0" applyFont="1" applyFill="1" applyBorder="1" applyAlignment="1">
      <alignment horizontal="center" vertical="center"/>
    </xf>
    <xf numFmtId="3" fontId="19" fillId="2" borderId="2" xfId="0" applyNumberFormat="1" applyFont="1" applyFill="1" applyBorder="1" applyAlignment="1">
      <alignment horizontal="left" vertical="center"/>
    </xf>
    <xf numFmtId="3" fontId="24" fillId="2" borderId="2" xfId="0" applyNumberFormat="1" applyFont="1" applyFill="1" applyBorder="1" applyAlignment="1">
      <alignment horizontal="right" vertical="center"/>
    </xf>
    <xf numFmtId="3" fontId="24" fillId="2" borderId="2" xfId="2" applyNumberFormat="1" applyFont="1" applyFill="1" applyBorder="1" applyAlignment="1">
      <alignment horizontal="right" vertical="center"/>
    </xf>
    <xf numFmtId="3" fontId="23" fillId="0" borderId="0" xfId="0" applyNumberFormat="1" applyFont="1" applyAlignment="1">
      <alignment vertical="center"/>
    </xf>
    <xf numFmtId="3" fontId="19" fillId="0" borderId="0" xfId="0" applyNumberFormat="1" applyFont="1"/>
    <xf numFmtId="3" fontId="20" fillId="0" borderId="0" xfId="0" applyNumberFormat="1" applyFont="1" applyAlignment="1">
      <alignment horizontal="left" vertical="center"/>
    </xf>
    <xf numFmtId="3" fontId="20" fillId="0" borderId="0" xfId="0" applyNumberFormat="1" applyFont="1" applyAlignment="1">
      <alignment vertical="center"/>
    </xf>
    <xf numFmtId="0" fontId="20" fillId="0" borderId="0" xfId="0" applyFont="1" applyAlignment="1">
      <alignment vertical="center"/>
    </xf>
    <xf numFmtId="0" fontId="25" fillId="0" borderId="0" xfId="0" applyFont="1" applyAlignment="1">
      <alignment vertical="center"/>
    </xf>
    <xf numFmtId="3" fontId="18" fillId="0" borderId="9" xfId="0" applyNumberFormat="1" applyFont="1" applyBorder="1" applyAlignment="1">
      <alignment horizontal="right"/>
    </xf>
    <xf numFmtId="3" fontId="26" fillId="0" borderId="0" xfId="0" applyNumberFormat="1" applyFont="1" applyAlignment="1">
      <alignment horizontal="right"/>
    </xf>
    <xf numFmtId="3" fontId="19" fillId="0" borderId="0" xfId="0" quotePrefix="1" applyNumberFormat="1" applyFont="1" applyAlignment="1">
      <alignment horizontal="left"/>
    </xf>
    <xf numFmtId="3" fontId="8" fillId="0" borderId="0" xfId="0" quotePrefix="1" applyNumberFormat="1" applyFont="1" applyAlignment="1">
      <alignment horizontal="left"/>
    </xf>
    <xf numFmtId="0" fontId="19" fillId="0" borderId="0" xfId="0" applyFont="1" applyAlignment="1">
      <alignment horizontal="center"/>
    </xf>
    <xf numFmtId="0" fontId="20" fillId="0" borderId="0" xfId="0" applyFont="1" applyAlignment="1">
      <alignment horizontal="center" vertical="center"/>
    </xf>
    <xf numFmtId="0" fontId="21" fillId="0" borderId="0" xfId="0" applyFont="1" applyAlignment="1">
      <alignment horizontal="center" vertical="center"/>
    </xf>
    <xf numFmtId="0" fontId="22" fillId="0" borderId="1" xfId="3" applyFont="1" applyBorder="1" applyAlignment="1">
      <alignment horizontal="center" vertical="center"/>
    </xf>
    <xf numFmtId="0" fontId="23" fillId="0" borderId="0" xfId="0" applyFont="1" applyAlignment="1">
      <alignment horizontal="left" wrapText="1"/>
    </xf>
    <xf numFmtId="0" fontId="3" fillId="0" borderId="0" xfId="0" applyFont="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6" fillId="0" borderId="1" xfId="0" applyFont="1" applyBorder="1" applyAlignment="1">
      <alignment horizontal="center" vertical="center"/>
    </xf>
    <xf numFmtId="0" fontId="7" fillId="0" borderId="0" xfId="0" applyFont="1" applyAlignment="1">
      <alignment horizontal="left" wrapText="1"/>
    </xf>
    <xf numFmtId="0" fontId="7" fillId="0" borderId="0" xfId="0" applyFont="1" applyAlignment="1">
      <alignment horizontal="left" vertical="top" wrapText="1"/>
    </xf>
    <xf numFmtId="0" fontId="9" fillId="0" borderId="5" xfId="0" applyFont="1" applyBorder="1" applyAlignment="1">
      <alignment horizontal="center" vertical="center"/>
    </xf>
    <xf numFmtId="0" fontId="9" fillId="0" borderId="7" xfId="0" applyFont="1" applyBorder="1" applyAlignment="1">
      <alignment horizontal="center"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3" fontId="13" fillId="3" borderId="5" xfId="0" applyNumberFormat="1" applyFont="1" applyFill="1" applyBorder="1" applyAlignment="1">
      <alignment horizontal="center" vertical="center"/>
    </xf>
    <xf numFmtId="3" fontId="13" fillId="3" borderId="6" xfId="0" applyNumberFormat="1" applyFont="1" applyFill="1" applyBorder="1" applyAlignment="1">
      <alignment horizontal="center" vertical="center"/>
    </xf>
    <xf numFmtId="3" fontId="13" fillId="3" borderId="7" xfId="0" applyNumberFormat="1" applyFont="1" applyFill="1" applyBorder="1" applyAlignment="1">
      <alignment horizontal="center" vertical="center"/>
    </xf>
    <xf numFmtId="0" fontId="13" fillId="3" borderId="5"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7" xfId="0" applyFont="1" applyFill="1" applyBorder="1" applyAlignment="1">
      <alignment horizontal="center" vertical="center"/>
    </xf>
    <xf numFmtId="3" fontId="14" fillId="3" borderId="0" xfId="2" applyNumberFormat="1" applyFont="1" applyFill="1" applyAlignment="1">
      <alignment horizontal="center" vertical="center" wrapText="1"/>
    </xf>
    <xf numFmtId="0" fontId="13" fillId="3" borderId="4" xfId="0" applyFont="1" applyFill="1" applyBorder="1" applyAlignment="1">
      <alignment horizontal="center" vertical="center" wrapText="1"/>
    </xf>
    <xf numFmtId="0" fontId="13" fillId="3" borderId="8" xfId="0" applyFont="1" applyFill="1" applyBorder="1" applyAlignment="1">
      <alignment horizontal="center" vertical="center" wrapText="1"/>
    </xf>
    <xf numFmtId="3" fontId="13" fillId="3" borderId="4" xfId="0" applyNumberFormat="1" applyFont="1" applyFill="1" applyBorder="1" applyAlignment="1">
      <alignment horizontal="center" vertical="center" wrapText="1"/>
    </xf>
    <xf numFmtId="3" fontId="13" fillId="3" borderId="8" xfId="0" applyNumberFormat="1" applyFont="1" applyFill="1" applyBorder="1" applyAlignment="1">
      <alignment horizontal="center" vertical="center" wrapText="1"/>
    </xf>
  </cellXfs>
  <cellStyles count="4">
    <cellStyle name="Comma" xfId="1" builtinId="3"/>
    <cellStyle name="Comma [0]" xfId="2" builtinId="6"/>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280653</xdr:colOff>
      <xdr:row>1</xdr:row>
      <xdr:rowOff>1</xdr:rowOff>
    </xdr:from>
    <xdr:to>
      <xdr:col>1</xdr:col>
      <xdr:colOff>778565</xdr:colOff>
      <xdr:row>6</xdr:row>
      <xdr:rowOff>56951</xdr:rowOff>
    </xdr:to>
    <xdr:pic>
      <xdr:nvPicPr>
        <xdr:cNvPr id="2"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80035" y="209550"/>
          <a:ext cx="1003300" cy="1104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14654</xdr:colOff>
      <xdr:row>1</xdr:row>
      <xdr:rowOff>58616</xdr:rowOff>
    </xdr:from>
    <xdr:to>
      <xdr:col>1</xdr:col>
      <xdr:colOff>410308</xdr:colOff>
      <xdr:row>5</xdr:row>
      <xdr:rowOff>142324</xdr:rowOff>
    </xdr:to>
    <xdr:pic>
      <xdr:nvPicPr>
        <xdr:cNvPr id="2"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605" y="315595"/>
          <a:ext cx="900430" cy="1055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413845</xdr:colOff>
      <xdr:row>5</xdr:row>
      <xdr:rowOff>59120</xdr:rowOff>
    </xdr:to>
    <xdr:pic>
      <xdr:nvPicPr>
        <xdr:cNvPr id="2"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257175"/>
          <a:ext cx="918210" cy="10306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32844</xdr:rowOff>
    </xdr:from>
    <xdr:to>
      <xdr:col>1</xdr:col>
      <xdr:colOff>323850</xdr:colOff>
      <xdr:row>4</xdr:row>
      <xdr:rowOff>217205</xdr:rowOff>
    </xdr:to>
    <xdr:pic>
      <xdr:nvPicPr>
        <xdr:cNvPr id="2"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289560"/>
          <a:ext cx="828675" cy="918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fkip.unib.ac.id/"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fkip.unib.ac.id/"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fkip.unib.ac.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7"/>
  <sheetViews>
    <sheetView tabSelected="1" showWhiteSpace="0" view="pageLayout" topLeftCell="A7" zoomScale="115" zoomScaleNormal="100" zoomScalePageLayoutView="115" workbookViewId="0">
      <selection activeCell="B27" sqref="B27"/>
    </sheetView>
  </sheetViews>
  <sheetFormatPr defaultColWidth="9" defaultRowHeight="16.5"/>
  <cols>
    <col min="1" max="1" width="7.5703125" style="86" customWidth="1"/>
    <col min="2" max="2" width="44.140625" style="86" customWidth="1"/>
    <col min="3" max="3" width="28.7109375" style="87" customWidth="1"/>
    <col min="4" max="4" width="9.85546875" style="88" hidden="1" customWidth="1"/>
    <col min="5" max="5" width="16.28515625" style="88" customWidth="1"/>
    <col min="6" max="234" width="9.140625" style="86"/>
    <col min="235" max="235" width="5.7109375" style="86" customWidth="1"/>
    <col min="236" max="236" width="7.5703125" style="86" customWidth="1"/>
    <col min="237" max="237" width="39" style="86" customWidth="1"/>
    <col min="238" max="238" width="20.5703125" style="86" customWidth="1"/>
    <col min="239" max="239" width="5.7109375" style="86" customWidth="1"/>
    <col min="240" max="240" width="8.28515625" style="86" customWidth="1"/>
    <col min="241" max="241" width="9.140625" style="86" customWidth="1"/>
    <col min="242" max="242" width="10.7109375" style="86" customWidth="1"/>
    <col min="243" max="243" width="13.5703125" style="86" customWidth="1"/>
    <col min="244" max="490" width="9.140625" style="86"/>
    <col min="491" max="491" width="5.7109375" style="86" customWidth="1"/>
    <col min="492" max="492" width="7.5703125" style="86" customWidth="1"/>
    <col min="493" max="493" width="39" style="86" customWidth="1"/>
    <col min="494" max="494" width="20.5703125" style="86" customWidth="1"/>
    <col min="495" max="495" width="5.7109375" style="86" customWidth="1"/>
    <col min="496" max="496" width="8.28515625" style="86" customWidth="1"/>
    <col min="497" max="497" width="9.140625" style="86" customWidth="1"/>
    <col min="498" max="498" width="10.7109375" style="86" customWidth="1"/>
    <col min="499" max="499" width="13.5703125" style="86" customWidth="1"/>
    <col min="500" max="746" width="9.140625" style="86"/>
    <col min="747" max="747" width="5.7109375" style="86" customWidth="1"/>
    <col min="748" max="748" width="7.5703125" style="86" customWidth="1"/>
    <col min="749" max="749" width="39" style="86" customWidth="1"/>
    <col min="750" max="750" width="20.5703125" style="86" customWidth="1"/>
    <col min="751" max="751" width="5.7109375" style="86" customWidth="1"/>
    <col min="752" max="752" width="8.28515625" style="86" customWidth="1"/>
    <col min="753" max="753" width="9.140625" style="86" customWidth="1"/>
    <col min="754" max="754" width="10.7109375" style="86" customWidth="1"/>
    <col min="755" max="755" width="13.5703125" style="86" customWidth="1"/>
    <col min="756" max="1002" width="9.140625" style="86"/>
    <col min="1003" max="1003" width="5.7109375" style="86" customWidth="1"/>
    <col min="1004" max="1004" width="7.5703125" style="86" customWidth="1"/>
    <col min="1005" max="1005" width="39" style="86" customWidth="1"/>
    <col min="1006" max="1006" width="20.5703125" style="86" customWidth="1"/>
    <col min="1007" max="1007" width="5.7109375" style="86" customWidth="1"/>
    <col min="1008" max="1008" width="8.28515625" style="86" customWidth="1"/>
    <col min="1009" max="1009" width="9.140625" style="86" customWidth="1"/>
    <col min="1010" max="1010" width="10.7109375" style="86" customWidth="1"/>
    <col min="1011" max="1011" width="13.5703125" style="86" customWidth="1"/>
    <col min="1012" max="1258" width="9.140625" style="86"/>
    <col min="1259" max="1259" width="5.7109375" style="86" customWidth="1"/>
    <col min="1260" max="1260" width="7.5703125" style="86" customWidth="1"/>
    <col min="1261" max="1261" width="39" style="86" customWidth="1"/>
    <col min="1262" max="1262" width="20.5703125" style="86" customWidth="1"/>
    <col min="1263" max="1263" width="5.7109375" style="86" customWidth="1"/>
    <col min="1264" max="1264" width="8.28515625" style="86" customWidth="1"/>
    <col min="1265" max="1265" width="9.140625" style="86" customWidth="1"/>
    <col min="1266" max="1266" width="10.7109375" style="86" customWidth="1"/>
    <col min="1267" max="1267" width="13.5703125" style="86" customWidth="1"/>
    <col min="1268" max="1514" width="9.140625" style="86"/>
    <col min="1515" max="1515" width="5.7109375" style="86" customWidth="1"/>
    <col min="1516" max="1516" width="7.5703125" style="86" customWidth="1"/>
    <col min="1517" max="1517" width="39" style="86" customWidth="1"/>
    <col min="1518" max="1518" width="20.5703125" style="86" customWidth="1"/>
    <col min="1519" max="1519" width="5.7109375" style="86" customWidth="1"/>
    <col min="1520" max="1520" width="8.28515625" style="86" customWidth="1"/>
    <col min="1521" max="1521" width="9.140625" style="86" customWidth="1"/>
    <col min="1522" max="1522" width="10.7109375" style="86" customWidth="1"/>
    <col min="1523" max="1523" width="13.5703125" style="86" customWidth="1"/>
    <col min="1524" max="1770" width="9.140625" style="86"/>
    <col min="1771" max="1771" width="5.7109375" style="86" customWidth="1"/>
    <col min="1772" max="1772" width="7.5703125" style="86" customWidth="1"/>
    <col min="1773" max="1773" width="39" style="86" customWidth="1"/>
    <col min="1774" max="1774" width="20.5703125" style="86" customWidth="1"/>
    <col min="1775" max="1775" width="5.7109375" style="86" customWidth="1"/>
    <col min="1776" max="1776" width="8.28515625" style="86" customWidth="1"/>
    <col min="1777" max="1777" width="9.140625" style="86" customWidth="1"/>
    <col min="1778" max="1778" width="10.7109375" style="86" customWidth="1"/>
    <col min="1779" max="1779" width="13.5703125" style="86" customWidth="1"/>
    <col min="1780" max="2026" width="9.140625" style="86"/>
    <col min="2027" max="2027" width="5.7109375" style="86" customWidth="1"/>
    <col min="2028" max="2028" width="7.5703125" style="86" customWidth="1"/>
    <col min="2029" max="2029" width="39" style="86" customWidth="1"/>
    <col min="2030" max="2030" width="20.5703125" style="86" customWidth="1"/>
    <col min="2031" max="2031" width="5.7109375" style="86" customWidth="1"/>
    <col min="2032" max="2032" width="8.28515625" style="86" customWidth="1"/>
    <col min="2033" max="2033" width="9.140625" style="86" customWidth="1"/>
    <col min="2034" max="2034" width="10.7109375" style="86" customWidth="1"/>
    <col min="2035" max="2035" width="13.5703125" style="86" customWidth="1"/>
    <col min="2036" max="2282" width="9.140625" style="86"/>
    <col min="2283" max="2283" width="5.7109375" style="86" customWidth="1"/>
    <col min="2284" max="2284" width="7.5703125" style="86" customWidth="1"/>
    <col min="2285" max="2285" width="39" style="86" customWidth="1"/>
    <col min="2286" max="2286" width="20.5703125" style="86" customWidth="1"/>
    <col min="2287" max="2287" width="5.7109375" style="86" customWidth="1"/>
    <col min="2288" max="2288" width="8.28515625" style="86" customWidth="1"/>
    <col min="2289" max="2289" width="9.140625" style="86" customWidth="1"/>
    <col min="2290" max="2290" width="10.7109375" style="86" customWidth="1"/>
    <col min="2291" max="2291" width="13.5703125" style="86" customWidth="1"/>
    <col min="2292" max="2538" width="9.140625" style="86"/>
    <col min="2539" max="2539" width="5.7109375" style="86" customWidth="1"/>
    <col min="2540" max="2540" width="7.5703125" style="86" customWidth="1"/>
    <col min="2541" max="2541" width="39" style="86" customWidth="1"/>
    <col min="2542" max="2542" width="20.5703125" style="86" customWidth="1"/>
    <col min="2543" max="2543" width="5.7109375" style="86" customWidth="1"/>
    <col min="2544" max="2544" width="8.28515625" style="86" customWidth="1"/>
    <col min="2545" max="2545" width="9.140625" style="86" customWidth="1"/>
    <col min="2546" max="2546" width="10.7109375" style="86" customWidth="1"/>
    <col min="2547" max="2547" width="13.5703125" style="86" customWidth="1"/>
    <col min="2548" max="2794" width="9.140625" style="86"/>
    <col min="2795" max="2795" width="5.7109375" style="86" customWidth="1"/>
    <col min="2796" max="2796" width="7.5703125" style="86" customWidth="1"/>
    <col min="2797" max="2797" width="39" style="86" customWidth="1"/>
    <col min="2798" max="2798" width="20.5703125" style="86" customWidth="1"/>
    <col min="2799" max="2799" width="5.7109375" style="86" customWidth="1"/>
    <col min="2800" max="2800" width="8.28515625" style="86" customWidth="1"/>
    <col min="2801" max="2801" width="9.140625" style="86" customWidth="1"/>
    <col min="2802" max="2802" width="10.7109375" style="86" customWidth="1"/>
    <col min="2803" max="2803" width="13.5703125" style="86" customWidth="1"/>
    <col min="2804" max="3050" width="9.140625" style="86"/>
    <col min="3051" max="3051" width="5.7109375" style="86" customWidth="1"/>
    <col min="3052" max="3052" width="7.5703125" style="86" customWidth="1"/>
    <col min="3053" max="3053" width="39" style="86" customWidth="1"/>
    <col min="3054" max="3054" width="20.5703125" style="86" customWidth="1"/>
    <col min="3055" max="3055" width="5.7109375" style="86" customWidth="1"/>
    <col min="3056" max="3056" width="8.28515625" style="86" customWidth="1"/>
    <col min="3057" max="3057" width="9.140625" style="86" customWidth="1"/>
    <col min="3058" max="3058" width="10.7109375" style="86" customWidth="1"/>
    <col min="3059" max="3059" width="13.5703125" style="86" customWidth="1"/>
    <col min="3060" max="3306" width="9.140625" style="86"/>
    <col min="3307" max="3307" width="5.7109375" style="86" customWidth="1"/>
    <col min="3308" max="3308" width="7.5703125" style="86" customWidth="1"/>
    <col min="3309" max="3309" width="39" style="86" customWidth="1"/>
    <col min="3310" max="3310" width="20.5703125" style="86" customWidth="1"/>
    <col min="3311" max="3311" width="5.7109375" style="86" customWidth="1"/>
    <col min="3312" max="3312" width="8.28515625" style="86" customWidth="1"/>
    <col min="3313" max="3313" width="9.140625" style="86" customWidth="1"/>
    <col min="3314" max="3314" width="10.7109375" style="86" customWidth="1"/>
    <col min="3315" max="3315" width="13.5703125" style="86" customWidth="1"/>
    <col min="3316" max="3562" width="9.140625" style="86"/>
    <col min="3563" max="3563" width="5.7109375" style="86" customWidth="1"/>
    <col min="3564" max="3564" width="7.5703125" style="86" customWidth="1"/>
    <col min="3565" max="3565" width="39" style="86" customWidth="1"/>
    <col min="3566" max="3566" width="20.5703125" style="86" customWidth="1"/>
    <col min="3567" max="3567" width="5.7109375" style="86" customWidth="1"/>
    <col min="3568" max="3568" width="8.28515625" style="86" customWidth="1"/>
    <col min="3569" max="3569" width="9.140625" style="86" customWidth="1"/>
    <col min="3570" max="3570" width="10.7109375" style="86" customWidth="1"/>
    <col min="3571" max="3571" width="13.5703125" style="86" customWidth="1"/>
    <col min="3572" max="3818" width="9.140625" style="86"/>
    <col min="3819" max="3819" width="5.7109375" style="86" customWidth="1"/>
    <col min="3820" max="3820" width="7.5703125" style="86" customWidth="1"/>
    <col min="3821" max="3821" width="39" style="86" customWidth="1"/>
    <col min="3822" max="3822" width="20.5703125" style="86" customWidth="1"/>
    <col min="3823" max="3823" width="5.7109375" style="86" customWidth="1"/>
    <col min="3824" max="3824" width="8.28515625" style="86" customWidth="1"/>
    <col min="3825" max="3825" width="9.140625" style="86" customWidth="1"/>
    <col min="3826" max="3826" width="10.7109375" style="86" customWidth="1"/>
    <col min="3827" max="3827" width="13.5703125" style="86" customWidth="1"/>
    <col min="3828" max="4074" width="9.140625" style="86"/>
    <col min="4075" max="4075" width="5.7109375" style="86" customWidth="1"/>
    <col min="4076" max="4076" width="7.5703125" style="86" customWidth="1"/>
    <col min="4077" max="4077" width="39" style="86" customWidth="1"/>
    <col min="4078" max="4078" width="20.5703125" style="86" customWidth="1"/>
    <col min="4079" max="4079" width="5.7109375" style="86" customWidth="1"/>
    <col min="4080" max="4080" width="8.28515625" style="86" customWidth="1"/>
    <col min="4081" max="4081" width="9.140625" style="86" customWidth="1"/>
    <col min="4082" max="4082" width="10.7109375" style="86" customWidth="1"/>
    <col min="4083" max="4083" width="13.5703125" style="86" customWidth="1"/>
    <col min="4084" max="4330" width="9.140625" style="86"/>
    <col min="4331" max="4331" width="5.7109375" style="86" customWidth="1"/>
    <col min="4332" max="4332" width="7.5703125" style="86" customWidth="1"/>
    <col min="4333" max="4333" width="39" style="86" customWidth="1"/>
    <col min="4334" max="4334" width="20.5703125" style="86" customWidth="1"/>
    <col min="4335" max="4335" width="5.7109375" style="86" customWidth="1"/>
    <col min="4336" max="4336" width="8.28515625" style="86" customWidth="1"/>
    <col min="4337" max="4337" width="9.140625" style="86" customWidth="1"/>
    <col min="4338" max="4338" width="10.7109375" style="86" customWidth="1"/>
    <col min="4339" max="4339" width="13.5703125" style="86" customWidth="1"/>
    <col min="4340" max="4586" width="9.140625" style="86"/>
    <col min="4587" max="4587" width="5.7109375" style="86" customWidth="1"/>
    <col min="4588" max="4588" width="7.5703125" style="86" customWidth="1"/>
    <col min="4589" max="4589" width="39" style="86" customWidth="1"/>
    <col min="4590" max="4590" width="20.5703125" style="86" customWidth="1"/>
    <col min="4591" max="4591" width="5.7109375" style="86" customWidth="1"/>
    <col min="4592" max="4592" width="8.28515625" style="86" customWidth="1"/>
    <col min="4593" max="4593" width="9.140625" style="86" customWidth="1"/>
    <col min="4594" max="4594" width="10.7109375" style="86" customWidth="1"/>
    <col min="4595" max="4595" width="13.5703125" style="86" customWidth="1"/>
    <col min="4596" max="4842" width="9.140625" style="86"/>
    <col min="4843" max="4843" width="5.7109375" style="86" customWidth="1"/>
    <col min="4844" max="4844" width="7.5703125" style="86" customWidth="1"/>
    <col min="4845" max="4845" width="39" style="86" customWidth="1"/>
    <col min="4846" max="4846" width="20.5703125" style="86" customWidth="1"/>
    <col min="4847" max="4847" width="5.7109375" style="86" customWidth="1"/>
    <col min="4848" max="4848" width="8.28515625" style="86" customWidth="1"/>
    <col min="4849" max="4849" width="9.140625" style="86" customWidth="1"/>
    <col min="4850" max="4850" width="10.7109375" style="86" customWidth="1"/>
    <col min="4851" max="4851" width="13.5703125" style="86" customWidth="1"/>
    <col min="4852" max="5098" width="9.140625" style="86"/>
    <col min="5099" max="5099" width="5.7109375" style="86" customWidth="1"/>
    <col min="5100" max="5100" width="7.5703125" style="86" customWidth="1"/>
    <col min="5101" max="5101" width="39" style="86" customWidth="1"/>
    <col min="5102" max="5102" width="20.5703125" style="86" customWidth="1"/>
    <col min="5103" max="5103" width="5.7109375" style="86" customWidth="1"/>
    <col min="5104" max="5104" width="8.28515625" style="86" customWidth="1"/>
    <col min="5105" max="5105" width="9.140625" style="86" customWidth="1"/>
    <col min="5106" max="5106" width="10.7109375" style="86" customWidth="1"/>
    <col min="5107" max="5107" width="13.5703125" style="86" customWidth="1"/>
    <col min="5108" max="5354" width="9.140625" style="86"/>
    <col min="5355" max="5355" width="5.7109375" style="86" customWidth="1"/>
    <col min="5356" max="5356" width="7.5703125" style="86" customWidth="1"/>
    <col min="5357" max="5357" width="39" style="86" customWidth="1"/>
    <col min="5358" max="5358" width="20.5703125" style="86" customWidth="1"/>
    <col min="5359" max="5359" width="5.7109375" style="86" customWidth="1"/>
    <col min="5360" max="5360" width="8.28515625" style="86" customWidth="1"/>
    <col min="5361" max="5361" width="9.140625" style="86" customWidth="1"/>
    <col min="5362" max="5362" width="10.7109375" style="86" customWidth="1"/>
    <col min="5363" max="5363" width="13.5703125" style="86" customWidth="1"/>
    <col min="5364" max="5610" width="9.140625" style="86"/>
    <col min="5611" max="5611" width="5.7109375" style="86" customWidth="1"/>
    <col min="5612" max="5612" width="7.5703125" style="86" customWidth="1"/>
    <col min="5613" max="5613" width="39" style="86" customWidth="1"/>
    <col min="5614" max="5614" width="20.5703125" style="86" customWidth="1"/>
    <col min="5615" max="5615" width="5.7109375" style="86" customWidth="1"/>
    <col min="5616" max="5616" width="8.28515625" style="86" customWidth="1"/>
    <col min="5617" max="5617" width="9.140625" style="86" customWidth="1"/>
    <col min="5618" max="5618" width="10.7109375" style="86" customWidth="1"/>
    <col min="5619" max="5619" width="13.5703125" style="86" customWidth="1"/>
    <col min="5620" max="5866" width="9.140625" style="86"/>
    <col min="5867" max="5867" width="5.7109375" style="86" customWidth="1"/>
    <col min="5868" max="5868" width="7.5703125" style="86" customWidth="1"/>
    <col min="5869" max="5869" width="39" style="86" customWidth="1"/>
    <col min="5870" max="5870" width="20.5703125" style="86" customWidth="1"/>
    <col min="5871" max="5871" width="5.7109375" style="86" customWidth="1"/>
    <col min="5872" max="5872" width="8.28515625" style="86" customWidth="1"/>
    <col min="5873" max="5873" width="9.140625" style="86" customWidth="1"/>
    <col min="5874" max="5874" width="10.7109375" style="86" customWidth="1"/>
    <col min="5875" max="5875" width="13.5703125" style="86" customWidth="1"/>
    <col min="5876" max="6122" width="9.140625" style="86"/>
    <col min="6123" max="6123" width="5.7109375" style="86" customWidth="1"/>
    <col min="6124" max="6124" width="7.5703125" style="86" customWidth="1"/>
    <col min="6125" max="6125" width="39" style="86" customWidth="1"/>
    <col min="6126" max="6126" width="20.5703125" style="86" customWidth="1"/>
    <col min="6127" max="6127" width="5.7109375" style="86" customWidth="1"/>
    <col min="6128" max="6128" width="8.28515625" style="86" customWidth="1"/>
    <col min="6129" max="6129" width="9.140625" style="86" customWidth="1"/>
    <col min="6130" max="6130" width="10.7109375" style="86" customWidth="1"/>
    <col min="6131" max="6131" width="13.5703125" style="86" customWidth="1"/>
    <col min="6132" max="6378" width="9.140625" style="86"/>
    <col min="6379" max="6379" width="5.7109375" style="86" customWidth="1"/>
    <col min="6380" max="6380" width="7.5703125" style="86" customWidth="1"/>
    <col min="6381" max="6381" width="39" style="86" customWidth="1"/>
    <col min="6382" max="6382" width="20.5703125" style="86" customWidth="1"/>
    <col min="6383" max="6383" width="5.7109375" style="86" customWidth="1"/>
    <col min="6384" max="6384" width="8.28515625" style="86" customWidth="1"/>
    <col min="6385" max="6385" width="9.140625" style="86" customWidth="1"/>
    <col min="6386" max="6386" width="10.7109375" style="86" customWidth="1"/>
    <col min="6387" max="6387" width="13.5703125" style="86" customWidth="1"/>
    <col min="6388" max="6634" width="9.140625" style="86"/>
    <col min="6635" max="6635" width="5.7109375" style="86" customWidth="1"/>
    <col min="6636" max="6636" width="7.5703125" style="86" customWidth="1"/>
    <col min="6637" max="6637" width="39" style="86" customWidth="1"/>
    <col min="6638" max="6638" width="20.5703125" style="86" customWidth="1"/>
    <col min="6639" max="6639" width="5.7109375" style="86" customWidth="1"/>
    <col min="6640" max="6640" width="8.28515625" style="86" customWidth="1"/>
    <col min="6641" max="6641" width="9.140625" style="86" customWidth="1"/>
    <col min="6642" max="6642" width="10.7109375" style="86" customWidth="1"/>
    <col min="6643" max="6643" width="13.5703125" style="86" customWidth="1"/>
    <col min="6644" max="6890" width="9.140625" style="86"/>
    <col min="6891" max="6891" width="5.7109375" style="86" customWidth="1"/>
    <col min="6892" max="6892" width="7.5703125" style="86" customWidth="1"/>
    <col min="6893" max="6893" width="39" style="86" customWidth="1"/>
    <col min="6894" max="6894" width="20.5703125" style="86" customWidth="1"/>
    <col min="6895" max="6895" width="5.7109375" style="86" customWidth="1"/>
    <col min="6896" max="6896" width="8.28515625" style="86" customWidth="1"/>
    <col min="6897" max="6897" width="9.140625" style="86" customWidth="1"/>
    <col min="6898" max="6898" width="10.7109375" style="86" customWidth="1"/>
    <col min="6899" max="6899" width="13.5703125" style="86" customWidth="1"/>
    <col min="6900" max="7146" width="9.140625" style="86"/>
    <col min="7147" max="7147" width="5.7109375" style="86" customWidth="1"/>
    <col min="7148" max="7148" width="7.5703125" style="86" customWidth="1"/>
    <col min="7149" max="7149" width="39" style="86" customWidth="1"/>
    <col min="7150" max="7150" width="20.5703125" style="86" customWidth="1"/>
    <col min="7151" max="7151" width="5.7109375" style="86" customWidth="1"/>
    <col min="7152" max="7152" width="8.28515625" style="86" customWidth="1"/>
    <col min="7153" max="7153" width="9.140625" style="86" customWidth="1"/>
    <col min="7154" max="7154" width="10.7109375" style="86" customWidth="1"/>
    <col min="7155" max="7155" width="13.5703125" style="86" customWidth="1"/>
    <col min="7156" max="7402" width="9.140625" style="86"/>
    <col min="7403" max="7403" width="5.7109375" style="86" customWidth="1"/>
    <col min="7404" max="7404" width="7.5703125" style="86" customWidth="1"/>
    <col min="7405" max="7405" width="39" style="86" customWidth="1"/>
    <col min="7406" max="7406" width="20.5703125" style="86" customWidth="1"/>
    <col min="7407" max="7407" width="5.7109375" style="86" customWidth="1"/>
    <col min="7408" max="7408" width="8.28515625" style="86" customWidth="1"/>
    <col min="7409" max="7409" width="9.140625" style="86" customWidth="1"/>
    <col min="7410" max="7410" width="10.7109375" style="86" customWidth="1"/>
    <col min="7411" max="7411" width="13.5703125" style="86" customWidth="1"/>
    <col min="7412" max="7658" width="9.140625" style="86"/>
    <col min="7659" max="7659" width="5.7109375" style="86" customWidth="1"/>
    <col min="7660" max="7660" width="7.5703125" style="86" customWidth="1"/>
    <col min="7661" max="7661" width="39" style="86" customWidth="1"/>
    <col min="7662" max="7662" width="20.5703125" style="86" customWidth="1"/>
    <col min="7663" max="7663" width="5.7109375" style="86" customWidth="1"/>
    <col min="7664" max="7664" width="8.28515625" style="86" customWidth="1"/>
    <col min="7665" max="7665" width="9.140625" style="86" customWidth="1"/>
    <col min="7666" max="7666" width="10.7109375" style="86" customWidth="1"/>
    <col min="7667" max="7667" width="13.5703125" style="86" customWidth="1"/>
    <col min="7668" max="7914" width="9.140625" style="86"/>
    <col min="7915" max="7915" width="5.7109375" style="86" customWidth="1"/>
    <col min="7916" max="7916" width="7.5703125" style="86" customWidth="1"/>
    <col min="7917" max="7917" width="39" style="86" customWidth="1"/>
    <col min="7918" max="7918" width="20.5703125" style="86" customWidth="1"/>
    <col min="7919" max="7919" width="5.7109375" style="86" customWidth="1"/>
    <col min="7920" max="7920" width="8.28515625" style="86" customWidth="1"/>
    <col min="7921" max="7921" width="9.140625" style="86" customWidth="1"/>
    <col min="7922" max="7922" width="10.7109375" style="86" customWidth="1"/>
    <col min="7923" max="7923" width="13.5703125" style="86" customWidth="1"/>
    <col min="7924" max="8170" width="9.140625" style="86"/>
    <col min="8171" max="8171" width="5.7109375" style="86" customWidth="1"/>
    <col min="8172" max="8172" width="7.5703125" style="86" customWidth="1"/>
    <col min="8173" max="8173" width="39" style="86" customWidth="1"/>
    <col min="8174" max="8174" width="20.5703125" style="86" customWidth="1"/>
    <col min="8175" max="8175" width="5.7109375" style="86" customWidth="1"/>
    <col min="8176" max="8176" width="8.28515625" style="86" customWidth="1"/>
    <col min="8177" max="8177" width="9.140625" style="86" customWidth="1"/>
    <col min="8178" max="8178" width="10.7109375" style="86" customWidth="1"/>
    <col min="8179" max="8179" width="13.5703125" style="86" customWidth="1"/>
    <col min="8180" max="8426" width="9.140625" style="86"/>
    <col min="8427" max="8427" width="5.7109375" style="86" customWidth="1"/>
    <col min="8428" max="8428" width="7.5703125" style="86" customWidth="1"/>
    <col min="8429" max="8429" width="39" style="86" customWidth="1"/>
    <col min="8430" max="8430" width="20.5703125" style="86" customWidth="1"/>
    <col min="8431" max="8431" width="5.7109375" style="86" customWidth="1"/>
    <col min="8432" max="8432" width="8.28515625" style="86" customWidth="1"/>
    <col min="8433" max="8433" width="9.140625" style="86" customWidth="1"/>
    <col min="8434" max="8434" width="10.7109375" style="86" customWidth="1"/>
    <col min="8435" max="8435" width="13.5703125" style="86" customWidth="1"/>
    <col min="8436" max="8682" width="9.140625" style="86"/>
    <col min="8683" max="8683" width="5.7109375" style="86" customWidth="1"/>
    <col min="8684" max="8684" width="7.5703125" style="86" customWidth="1"/>
    <col min="8685" max="8685" width="39" style="86" customWidth="1"/>
    <col min="8686" max="8686" width="20.5703125" style="86" customWidth="1"/>
    <col min="8687" max="8687" width="5.7109375" style="86" customWidth="1"/>
    <col min="8688" max="8688" width="8.28515625" style="86" customWidth="1"/>
    <col min="8689" max="8689" width="9.140625" style="86" customWidth="1"/>
    <col min="8690" max="8690" width="10.7109375" style="86" customWidth="1"/>
    <col min="8691" max="8691" width="13.5703125" style="86" customWidth="1"/>
    <col min="8692" max="8938" width="9.140625" style="86"/>
    <col min="8939" max="8939" width="5.7109375" style="86" customWidth="1"/>
    <col min="8940" max="8940" width="7.5703125" style="86" customWidth="1"/>
    <col min="8941" max="8941" width="39" style="86" customWidth="1"/>
    <col min="8942" max="8942" width="20.5703125" style="86" customWidth="1"/>
    <col min="8943" max="8943" width="5.7109375" style="86" customWidth="1"/>
    <col min="8944" max="8944" width="8.28515625" style="86" customWidth="1"/>
    <col min="8945" max="8945" width="9.140625" style="86" customWidth="1"/>
    <col min="8946" max="8946" width="10.7109375" style="86" customWidth="1"/>
    <col min="8947" max="8947" width="13.5703125" style="86" customWidth="1"/>
    <col min="8948" max="9194" width="9.140625" style="86"/>
    <col min="9195" max="9195" width="5.7109375" style="86" customWidth="1"/>
    <col min="9196" max="9196" width="7.5703125" style="86" customWidth="1"/>
    <col min="9197" max="9197" width="39" style="86" customWidth="1"/>
    <col min="9198" max="9198" width="20.5703125" style="86" customWidth="1"/>
    <col min="9199" max="9199" width="5.7109375" style="86" customWidth="1"/>
    <col min="9200" max="9200" width="8.28515625" style="86" customWidth="1"/>
    <col min="9201" max="9201" width="9.140625" style="86" customWidth="1"/>
    <col min="9202" max="9202" width="10.7109375" style="86" customWidth="1"/>
    <col min="9203" max="9203" width="13.5703125" style="86" customWidth="1"/>
    <col min="9204" max="9450" width="9.140625" style="86"/>
    <col min="9451" max="9451" width="5.7109375" style="86" customWidth="1"/>
    <col min="9452" max="9452" width="7.5703125" style="86" customWidth="1"/>
    <col min="9453" max="9453" width="39" style="86" customWidth="1"/>
    <col min="9454" max="9454" width="20.5703125" style="86" customWidth="1"/>
    <col min="9455" max="9455" width="5.7109375" style="86" customWidth="1"/>
    <col min="9456" max="9456" width="8.28515625" style="86" customWidth="1"/>
    <col min="9457" max="9457" width="9.140625" style="86" customWidth="1"/>
    <col min="9458" max="9458" width="10.7109375" style="86" customWidth="1"/>
    <col min="9459" max="9459" width="13.5703125" style="86" customWidth="1"/>
    <col min="9460" max="9706" width="9.140625" style="86"/>
    <col min="9707" max="9707" width="5.7109375" style="86" customWidth="1"/>
    <col min="9708" max="9708" width="7.5703125" style="86" customWidth="1"/>
    <col min="9709" max="9709" width="39" style="86" customWidth="1"/>
    <col min="9710" max="9710" width="20.5703125" style="86" customWidth="1"/>
    <col min="9711" max="9711" width="5.7109375" style="86" customWidth="1"/>
    <col min="9712" max="9712" width="8.28515625" style="86" customWidth="1"/>
    <col min="9713" max="9713" width="9.140625" style="86" customWidth="1"/>
    <col min="9714" max="9714" width="10.7109375" style="86" customWidth="1"/>
    <col min="9715" max="9715" width="13.5703125" style="86" customWidth="1"/>
    <col min="9716" max="9962" width="9.140625" style="86"/>
    <col min="9963" max="9963" width="5.7109375" style="86" customWidth="1"/>
    <col min="9964" max="9964" width="7.5703125" style="86" customWidth="1"/>
    <col min="9965" max="9965" width="39" style="86" customWidth="1"/>
    <col min="9966" max="9966" width="20.5703125" style="86" customWidth="1"/>
    <col min="9967" max="9967" width="5.7109375" style="86" customWidth="1"/>
    <col min="9968" max="9968" width="8.28515625" style="86" customWidth="1"/>
    <col min="9969" max="9969" width="9.140625" style="86" customWidth="1"/>
    <col min="9970" max="9970" width="10.7109375" style="86" customWidth="1"/>
    <col min="9971" max="9971" width="13.5703125" style="86" customWidth="1"/>
    <col min="9972" max="10218" width="9.140625" style="86"/>
    <col min="10219" max="10219" width="5.7109375" style="86" customWidth="1"/>
    <col min="10220" max="10220" width="7.5703125" style="86" customWidth="1"/>
    <col min="10221" max="10221" width="39" style="86" customWidth="1"/>
    <col min="10222" max="10222" width="20.5703125" style="86" customWidth="1"/>
    <col min="10223" max="10223" width="5.7109375" style="86" customWidth="1"/>
    <col min="10224" max="10224" width="8.28515625" style="86" customWidth="1"/>
    <col min="10225" max="10225" width="9.140625" style="86" customWidth="1"/>
    <col min="10226" max="10226" width="10.7109375" style="86" customWidth="1"/>
    <col min="10227" max="10227" width="13.5703125" style="86" customWidth="1"/>
    <col min="10228" max="10474" width="9.140625" style="86"/>
    <col min="10475" max="10475" width="5.7109375" style="86" customWidth="1"/>
    <col min="10476" max="10476" width="7.5703125" style="86" customWidth="1"/>
    <col min="10477" max="10477" width="39" style="86" customWidth="1"/>
    <col min="10478" max="10478" width="20.5703125" style="86" customWidth="1"/>
    <col min="10479" max="10479" width="5.7109375" style="86" customWidth="1"/>
    <col min="10480" max="10480" width="8.28515625" style="86" customWidth="1"/>
    <col min="10481" max="10481" width="9.140625" style="86" customWidth="1"/>
    <col min="10482" max="10482" width="10.7109375" style="86" customWidth="1"/>
    <col min="10483" max="10483" width="13.5703125" style="86" customWidth="1"/>
    <col min="10484" max="10730" width="9.140625" style="86"/>
    <col min="10731" max="10731" width="5.7109375" style="86" customWidth="1"/>
    <col min="10732" max="10732" width="7.5703125" style="86" customWidth="1"/>
    <col min="10733" max="10733" width="39" style="86" customWidth="1"/>
    <col min="10734" max="10734" width="20.5703125" style="86" customWidth="1"/>
    <col min="10735" max="10735" width="5.7109375" style="86" customWidth="1"/>
    <col min="10736" max="10736" width="8.28515625" style="86" customWidth="1"/>
    <col min="10737" max="10737" width="9.140625" style="86" customWidth="1"/>
    <col min="10738" max="10738" width="10.7109375" style="86" customWidth="1"/>
    <col min="10739" max="10739" width="13.5703125" style="86" customWidth="1"/>
    <col min="10740" max="10986" width="9.140625" style="86"/>
    <col min="10987" max="10987" width="5.7109375" style="86" customWidth="1"/>
    <col min="10988" max="10988" width="7.5703125" style="86" customWidth="1"/>
    <col min="10989" max="10989" width="39" style="86" customWidth="1"/>
    <col min="10990" max="10990" width="20.5703125" style="86" customWidth="1"/>
    <col min="10991" max="10991" width="5.7109375" style="86" customWidth="1"/>
    <col min="10992" max="10992" width="8.28515625" style="86" customWidth="1"/>
    <col min="10993" max="10993" width="9.140625" style="86" customWidth="1"/>
    <col min="10994" max="10994" width="10.7109375" style="86" customWidth="1"/>
    <col min="10995" max="10995" width="13.5703125" style="86" customWidth="1"/>
    <col min="10996" max="11242" width="9.140625" style="86"/>
    <col min="11243" max="11243" width="5.7109375" style="86" customWidth="1"/>
    <col min="11244" max="11244" width="7.5703125" style="86" customWidth="1"/>
    <col min="11245" max="11245" width="39" style="86" customWidth="1"/>
    <col min="11246" max="11246" width="20.5703125" style="86" customWidth="1"/>
    <col min="11247" max="11247" width="5.7109375" style="86" customWidth="1"/>
    <col min="11248" max="11248" width="8.28515625" style="86" customWidth="1"/>
    <col min="11249" max="11249" width="9.140625" style="86" customWidth="1"/>
    <col min="11250" max="11250" width="10.7109375" style="86" customWidth="1"/>
    <col min="11251" max="11251" width="13.5703125" style="86" customWidth="1"/>
    <col min="11252" max="11498" width="9.140625" style="86"/>
    <col min="11499" max="11499" width="5.7109375" style="86" customWidth="1"/>
    <col min="11500" max="11500" width="7.5703125" style="86" customWidth="1"/>
    <col min="11501" max="11501" width="39" style="86" customWidth="1"/>
    <col min="11502" max="11502" width="20.5703125" style="86" customWidth="1"/>
    <col min="11503" max="11503" width="5.7109375" style="86" customWidth="1"/>
    <col min="11504" max="11504" width="8.28515625" style="86" customWidth="1"/>
    <col min="11505" max="11505" width="9.140625" style="86" customWidth="1"/>
    <col min="11506" max="11506" width="10.7109375" style="86" customWidth="1"/>
    <col min="11507" max="11507" width="13.5703125" style="86" customWidth="1"/>
    <col min="11508" max="11754" width="9.140625" style="86"/>
    <col min="11755" max="11755" width="5.7109375" style="86" customWidth="1"/>
    <col min="11756" max="11756" width="7.5703125" style="86" customWidth="1"/>
    <col min="11757" max="11757" width="39" style="86" customWidth="1"/>
    <col min="11758" max="11758" width="20.5703125" style="86" customWidth="1"/>
    <col min="11759" max="11759" width="5.7109375" style="86" customWidth="1"/>
    <col min="11760" max="11760" width="8.28515625" style="86" customWidth="1"/>
    <col min="11761" max="11761" width="9.140625" style="86" customWidth="1"/>
    <col min="11762" max="11762" width="10.7109375" style="86" customWidth="1"/>
    <col min="11763" max="11763" width="13.5703125" style="86" customWidth="1"/>
    <col min="11764" max="12010" width="9.140625" style="86"/>
    <col min="12011" max="12011" width="5.7109375" style="86" customWidth="1"/>
    <col min="12012" max="12012" width="7.5703125" style="86" customWidth="1"/>
    <col min="12013" max="12013" width="39" style="86" customWidth="1"/>
    <col min="12014" max="12014" width="20.5703125" style="86" customWidth="1"/>
    <col min="12015" max="12015" width="5.7109375" style="86" customWidth="1"/>
    <col min="12016" max="12016" width="8.28515625" style="86" customWidth="1"/>
    <col min="12017" max="12017" width="9.140625" style="86" customWidth="1"/>
    <col min="12018" max="12018" width="10.7109375" style="86" customWidth="1"/>
    <col min="12019" max="12019" width="13.5703125" style="86" customWidth="1"/>
    <col min="12020" max="12266" width="9.140625" style="86"/>
    <col min="12267" max="12267" width="5.7109375" style="86" customWidth="1"/>
    <col min="12268" max="12268" width="7.5703125" style="86" customWidth="1"/>
    <col min="12269" max="12269" width="39" style="86" customWidth="1"/>
    <col min="12270" max="12270" width="20.5703125" style="86" customWidth="1"/>
    <col min="12271" max="12271" width="5.7109375" style="86" customWidth="1"/>
    <col min="12272" max="12272" width="8.28515625" style="86" customWidth="1"/>
    <col min="12273" max="12273" width="9.140625" style="86" customWidth="1"/>
    <col min="12274" max="12274" width="10.7109375" style="86" customWidth="1"/>
    <col min="12275" max="12275" width="13.5703125" style="86" customWidth="1"/>
    <col min="12276" max="12522" width="9.140625" style="86"/>
    <col min="12523" max="12523" width="5.7109375" style="86" customWidth="1"/>
    <col min="12524" max="12524" width="7.5703125" style="86" customWidth="1"/>
    <col min="12525" max="12525" width="39" style="86" customWidth="1"/>
    <col min="12526" max="12526" width="20.5703125" style="86" customWidth="1"/>
    <col min="12527" max="12527" width="5.7109375" style="86" customWidth="1"/>
    <col min="12528" max="12528" width="8.28515625" style="86" customWidth="1"/>
    <col min="12529" max="12529" width="9.140625" style="86" customWidth="1"/>
    <col min="12530" max="12530" width="10.7109375" style="86" customWidth="1"/>
    <col min="12531" max="12531" width="13.5703125" style="86" customWidth="1"/>
    <col min="12532" max="12778" width="9.140625" style="86"/>
    <col min="12779" max="12779" width="5.7109375" style="86" customWidth="1"/>
    <col min="12780" max="12780" width="7.5703125" style="86" customWidth="1"/>
    <col min="12781" max="12781" width="39" style="86" customWidth="1"/>
    <col min="12782" max="12782" width="20.5703125" style="86" customWidth="1"/>
    <col min="12783" max="12783" width="5.7109375" style="86" customWidth="1"/>
    <col min="12784" max="12784" width="8.28515625" style="86" customWidth="1"/>
    <col min="12785" max="12785" width="9.140625" style="86" customWidth="1"/>
    <col min="12786" max="12786" width="10.7109375" style="86" customWidth="1"/>
    <col min="12787" max="12787" width="13.5703125" style="86" customWidth="1"/>
    <col min="12788" max="13034" width="9.140625" style="86"/>
    <col min="13035" max="13035" width="5.7109375" style="86" customWidth="1"/>
    <col min="13036" max="13036" width="7.5703125" style="86" customWidth="1"/>
    <col min="13037" max="13037" width="39" style="86" customWidth="1"/>
    <col min="13038" max="13038" width="20.5703125" style="86" customWidth="1"/>
    <col min="13039" max="13039" width="5.7109375" style="86" customWidth="1"/>
    <col min="13040" max="13040" width="8.28515625" style="86" customWidth="1"/>
    <col min="13041" max="13041" width="9.140625" style="86" customWidth="1"/>
    <col min="13042" max="13042" width="10.7109375" style="86" customWidth="1"/>
    <col min="13043" max="13043" width="13.5703125" style="86" customWidth="1"/>
    <col min="13044" max="13290" width="9.140625" style="86"/>
    <col min="13291" max="13291" width="5.7109375" style="86" customWidth="1"/>
    <col min="13292" max="13292" width="7.5703125" style="86" customWidth="1"/>
    <col min="13293" max="13293" width="39" style="86" customWidth="1"/>
    <col min="13294" max="13294" width="20.5703125" style="86" customWidth="1"/>
    <col min="13295" max="13295" width="5.7109375" style="86" customWidth="1"/>
    <col min="13296" max="13296" width="8.28515625" style="86" customWidth="1"/>
    <col min="13297" max="13297" width="9.140625" style="86" customWidth="1"/>
    <col min="13298" max="13298" width="10.7109375" style="86" customWidth="1"/>
    <col min="13299" max="13299" width="13.5703125" style="86" customWidth="1"/>
    <col min="13300" max="13546" width="9.140625" style="86"/>
    <col min="13547" max="13547" width="5.7109375" style="86" customWidth="1"/>
    <col min="13548" max="13548" width="7.5703125" style="86" customWidth="1"/>
    <col min="13549" max="13549" width="39" style="86" customWidth="1"/>
    <col min="13550" max="13550" width="20.5703125" style="86" customWidth="1"/>
    <col min="13551" max="13551" width="5.7109375" style="86" customWidth="1"/>
    <col min="13552" max="13552" width="8.28515625" style="86" customWidth="1"/>
    <col min="13553" max="13553" width="9.140625" style="86" customWidth="1"/>
    <col min="13554" max="13554" width="10.7109375" style="86" customWidth="1"/>
    <col min="13555" max="13555" width="13.5703125" style="86" customWidth="1"/>
    <col min="13556" max="13802" width="9.140625" style="86"/>
    <col min="13803" max="13803" width="5.7109375" style="86" customWidth="1"/>
    <col min="13804" max="13804" width="7.5703125" style="86" customWidth="1"/>
    <col min="13805" max="13805" width="39" style="86" customWidth="1"/>
    <col min="13806" max="13806" width="20.5703125" style="86" customWidth="1"/>
    <col min="13807" max="13807" width="5.7109375" style="86" customWidth="1"/>
    <col min="13808" max="13808" width="8.28515625" style="86" customWidth="1"/>
    <col min="13809" max="13809" width="9.140625" style="86" customWidth="1"/>
    <col min="13810" max="13810" width="10.7109375" style="86" customWidth="1"/>
    <col min="13811" max="13811" width="13.5703125" style="86" customWidth="1"/>
    <col min="13812" max="14058" width="9.140625" style="86"/>
    <col min="14059" max="14059" width="5.7109375" style="86" customWidth="1"/>
    <col min="14060" max="14060" width="7.5703125" style="86" customWidth="1"/>
    <col min="14061" max="14061" width="39" style="86" customWidth="1"/>
    <col min="14062" max="14062" width="20.5703125" style="86" customWidth="1"/>
    <col min="14063" max="14063" width="5.7109375" style="86" customWidth="1"/>
    <col min="14064" max="14064" width="8.28515625" style="86" customWidth="1"/>
    <col min="14065" max="14065" width="9.140625" style="86" customWidth="1"/>
    <col min="14066" max="14066" width="10.7109375" style="86" customWidth="1"/>
    <col min="14067" max="14067" width="13.5703125" style="86" customWidth="1"/>
    <col min="14068" max="14314" width="9.140625" style="86"/>
    <col min="14315" max="14315" width="5.7109375" style="86" customWidth="1"/>
    <col min="14316" max="14316" width="7.5703125" style="86" customWidth="1"/>
    <col min="14317" max="14317" width="39" style="86" customWidth="1"/>
    <col min="14318" max="14318" width="20.5703125" style="86" customWidth="1"/>
    <col min="14319" max="14319" width="5.7109375" style="86" customWidth="1"/>
    <col min="14320" max="14320" width="8.28515625" style="86" customWidth="1"/>
    <col min="14321" max="14321" width="9.140625" style="86" customWidth="1"/>
    <col min="14322" max="14322" width="10.7109375" style="86" customWidth="1"/>
    <col min="14323" max="14323" width="13.5703125" style="86" customWidth="1"/>
    <col min="14324" max="14570" width="9.140625" style="86"/>
    <col min="14571" max="14571" width="5.7109375" style="86" customWidth="1"/>
    <col min="14572" max="14572" width="7.5703125" style="86" customWidth="1"/>
    <col min="14573" max="14573" width="39" style="86" customWidth="1"/>
    <col min="14574" max="14574" width="20.5703125" style="86" customWidth="1"/>
    <col min="14575" max="14575" width="5.7109375" style="86" customWidth="1"/>
    <col min="14576" max="14576" width="8.28515625" style="86" customWidth="1"/>
    <col min="14577" max="14577" width="9.140625" style="86" customWidth="1"/>
    <col min="14578" max="14578" width="10.7109375" style="86" customWidth="1"/>
    <col min="14579" max="14579" width="13.5703125" style="86" customWidth="1"/>
    <col min="14580" max="14826" width="9.140625" style="86"/>
    <col min="14827" max="14827" width="5.7109375" style="86" customWidth="1"/>
    <col min="14828" max="14828" width="7.5703125" style="86" customWidth="1"/>
    <col min="14829" max="14829" width="39" style="86" customWidth="1"/>
    <col min="14830" max="14830" width="20.5703125" style="86" customWidth="1"/>
    <col min="14831" max="14831" width="5.7109375" style="86" customWidth="1"/>
    <col min="14832" max="14832" width="8.28515625" style="86" customWidth="1"/>
    <col min="14833" max="14833" width="9.140625" style="86" customWidth="1"/>
    <col min="14834" max="14834" width="10.7109375" style="86" customWidth="1"/>
    <col min="14835" max="14835" width="13.5703125" style="86" customWidth="1"/>
    <col min="14836" max="15082" width="9.140625" style="86"/>
    <col min="15083" max="15083" width="5.7109375" style="86" customWidth="1"/>
    <col min="15084" max="15084" width="7.5703125" style="86" customWidth="1"/>
    <col min="15085" max="15085" width="39" style="86" customWidth="1"/>
    <col min="15086" max="15086" width="20.5703125" style="86" customWidth="1"/>
    <col min="15087" max="15087" width="5.7109375" style="86" customWidth="1"/>
    <col min="15088" max="15088" width="8.28515625" style="86" customWidth="1"/>
    <col min="15089" max="15089" width="9.140625" style="86" customWidth="1"/>
    <col min="15090" max="15090" width="10.7109375" style="86" customWidth="1"/>
    <col min="15091" max="15091" width="13.5703125" style="86" customWidth="1"/>
    <col min="15092" max="15338" width="9.140625" style="86"/>
    <col min="15339" max="15339" width="5.7109375" style="86" customWidth="1"/>
    <col min="15340" max="15340" width="7.5703125" style="86" customWidth="1"/>
    <col min="15341" max="15341" width="39" style="86" customWidth="1"/>
    <col min="15342" max="15342" width="20.5703125" style="86" customWidth="1"/>
    <col min="15343" max="15343" width="5.7109375" style="86" customWidth="1"/>
    <col min="15344" max="15344" width="8.28515625" style="86" customWidth="1"/>
    <col min="15345" max="15345" width="9.140625" style="86" customWidth="1"/>
    <col min="15346" max="15346" width="10.7109375" style="86" customWidth="1"/>
    <col min="15347" max="15347" width="13.5703125" style="86" customWidth="1"/>
    <col min="15348" max="15594" width="9.140625" style="86"/>
    <col min="15595" max="15595" width="5.7109375" style="86" customWidth="1"/>
    <col min="15596" max="15596" width="7.5703125" style="86" customWidth="1"/>
    <col min="15597" max="15597" width="39" style="86" customWidth="1"/>
    <col min="15598" max="15598" width="20.5703125" style="86" customWidth="1"/>
    <col min="15599" max="15599" width="5.7109375" style="86" customWidth="1"/>
    <col min="15600" max="15600" width="8.28515625" style="86" customWidth="1"/>
    <col min="15601" max="15601" width="9.140625" style="86" customWidth="1"/>
    <col min="15602" max="15602" width="10.7109375" style="86" customWidth="1"/>
    <col min="15603" max="15603" width="13.5703125" style="86" customWidth="1"/>
    <col min="15604" max="15850" width="9.140625" style="86"/>
    <col min="15851" max="15851" width="5.7109375" style="86" customWidth="1"/>
    <col min="15852" max="15852" width="7.5703125" style="86" customWidth="1"/>
    <col min="15853" max="15853" width="39" style="86" customWidth="1"/>
    <col min="15854" max="15854" width="20.5703125" style="86" customWidth="1"/>
    <col min="15855" max="15855" width="5.7109375" style="86" customWidth="1"/>
    <col min="15856" max="15856" width="8.28515625" style="86" customWidth="1"/>
    <col min="15857" max="15857" width="9.140625" style="86" customWidth="1"/>
    <col min="15858" max="15858" width="10.7109375" style="86" customWidth="1"/>
    <col min="15859" max="15859" width="13.5703125" style="86" customWidth="1"/>
    <col min="15860" max="16106" width="9.140625" style="86"/>
    <col min="16107" max="16107" width="5.7109375" style="86" customWidth="1"/>
    <col min="16108" max="16108" width="7.5703125" style="86" customWidth="1"/>
    <col min="16109" max="16109" width="39" style="86" customWidth="1"/>
    <col min="16110" max="16110" width="20.5703125" style="86" customWidth="1"/>
    <col min="16111" max="16111" width="5.7109375" style="86" customWidth="1"/>
    <col min="16112" max="16112" width="8.28515625" style="86" customWidth="1"/>
    <col min="16113" max="16113" width="9.140625" style="86" customWidth="1"/>
    <col min="16114" max="16114" width="10.7109375" style="86" customWidth="1"/>
    <col min="16115" max="16115" width="13.5703125" style="86" customWidth="1"/>
    <col min="16116" max="16384" width="9.140625" style="86"/>
  </cols>
  <sheetData>
    <row r="1" spans="1:5">
      <c r="A1" s="129" t="s">
        <v>0</v>
      </c>
      <c r="B1" s="129"/>
      <c r="C1" s="129"/>
      <c r="D1" s="129"/>
      <c r="E1" s="129"/>
    </row>
    <row r="2" spans="1:5">
      <c r="A2" s="130" t="s">
        <v>1</v>
      </c>
      <c r="B2" s="130"/>
      <c r="C2" s="130"/>
      <c r="D2" s="130"/>
      <c r="E2" s="130"/>
    </row>
    <row r="3" spans="1:5">
      <c r="A3" s="131" t="s">
        <v>2</v>
      </c>
      <c r="B3" s="131"/>
      <c r="C3" s="131"/>
      <c r="D3" s="131"/>
      <c r="E3" s="131"/>
    </row>
    <row r="4" spans="1:5">
      <c r="A4" s="131" t="s">
        <v>3</v>
      </c>
      <c r="B4" s="131"/>
      <c r="C4" s="131"/>
      <c r="D4" s="131"/>
      <c r="E4" s="131"/>
    </row>
    <row r="5" spans="1:5">
      <c r="A5" s="131" t="s">
        <v>4</v>
      </c>
      <c r="B5" s="131"/>
      <c r="C5" s="131"/>
      <c r="D5" s="131"/>
      <c r="E5" s="131"/>
    </row>
    <row r="6" spans="1:5">
      <c r="A6" s="130" t="s">
        <v>5</v>
      </c>
      <c r="B6" s="130"/>
      <c r="C6" s="130"/>
      <c r="D6" s="130"/>
      <c r="E6" s="130"/>
    </row>
    <row r="7" spans="1:5">
      <c r="A7" s="130" t="s">
        <v>6</v>
      </c>
      <c r="B7" s="130"/>
      <c r="C7" s="130"/>
      <c r="D7" s="130"/>
      <c r="E7" s="130"/>
    </row>
    <row r="8" spans="1:5">
      <c r="A8" s="132" t="s">
        <v>7</v>
      </c>
      <c r="B8" s="132"/>
      <c r="C8" s="132"/>
      <c r="D8" s="132"/>
      <c r="E8" s="132"/>
    </row>
    <row r="9" spans="1:5">
      <c r="A9" s="89"/>
      <c r="B9" s="89"/>
      <c r="C9" s="90"/>
      <c r="D9" s="89"/>
      <c r="E9" s="89"/>
    </row>
    <row r="10" spans="1:5">
      <c r="A10" s="91" t="s">
        <v>8</v>
      </c>
      <c r="B10" s="92" t="s">
        <v>9</v>
      </c>
      <c r="C10" s="93"/>
      <c r="D10" s="127" t="s">
        <v>10</v>
      </c>
      <c r="E10" s="127" t="s">
        <v>11</v>
      </c>
    </row>
    <row r="11" spans="1:5">
      <c r="A11" s="92" t="s">
        <v>12</v>
      </c>
      <c r="B11" s="92" t="s">
        <v>13</v>
      </c>
      <c r="C11" s="93"/>
      <c r="D11" s="95"/>
      <c r="E11" s="95"/>
    </row>
    <row r="12" spans="1:5">
      <c r="A12" s="92"/>
      <c r="B12" s="92" t="s">
        <v>14</v>
      </c>
      <c r="C12" s="93"/>
      <c r="D12" s="95"/>
      <c r="E12" s="95"/>
    </row>
    <row r="13" spans="1:5">
      <c r="A13" s="92"/>
      <c r="B13" s="92"/>
      <c r="C13" s="93"/>
      <c r="D13" s="95"/>
      <c r="E13" s="95"/>
    </row>
    <row r="14" spans="1:5">
      <c r="A14" s="92" t="s">
        <v>15</v>
      </c>
      <c r="B14" s="92"/>
      <c r="C14" s="93"/>
      <c r="D14" s="95"/>
      <c r="E14" s="95"/>
    </row>
    <row r="15" spans="1:5">
      <c r="A15" s="92" t="s">
        <v>16</v>
      </c>
      <c r="B15" s="92"/>
      <c r="C15" s="93"/>
      <c r="D15" s="95"/>
      <c r="E15" s="95"/>
    </row>
    <row r="16" spans="1:5">
      <c r="A16" s="92"/>
      <c r="B16" s="92"/>
      <c r="C16" s="93"/>
      <c r="D16" s="95"/>
      <c r="E16" s="95"/>
    </row>
    <row r="17" spans="1:7" ht="30.75" customHeight="1">
      <c r="A17" s="133" t="s">
        <v>17</v>
      </c>
      <c r="B17" s="133"/>
      <c r="C17" s="133"/>
      <c r="D17" s="133"/>
      <c r="E17" s="133"/>
    </row>
    <row r="18" spans="1:7">
      <c r="A18" s="96"/>
      <c r="B18" s="96"/>
      <c r="C18" s="94"/>
      <c r="D18" s="95"/>
      <c r="E18" s="95"/>
    </row>
    <row r="19" spans="1:7" s="83" customFormat="1" ht="15" customHeight="1">
      <c r="A19" s="97" t="s">
        <v>18</v>
      </c>
      <c r="B19" s="97" t="s">
        <v>19</v>
      </c>
      <c r="C19" s="98" t="s">
        <v>20</v>
      </c>
      <c r="D19" s="98" t="s">
        <v>21</v>
      </c>
      <c r="E19" s="99" t="s">
        <v>22</v>
      </c>
    </row>
    <row r="20" spans="1:7" s="84" customFormat="1" ht="31.5">
      <c r="A20" s="100">
        <v>1</v>
      </c>
      <c r="B20" s="101" t="s">
        <v>23</v>
      </c>
      <c r="C20" s="102" t="s">
        <v>24</v>
      </c>
      <c r="D20" s="103"/>
      <c r="E20" s="104">
        <f>SUM(E21:E24)</f>
        <v>3970000</v>
      </c>
    </row>
    <row r="21" spans="1:7" s="85" customFormat="1" ht="17.25" customHeight="1">
      <c r="A21" s="105"/>
      <c r="B21" s="106" t="s">
        <v>25</v>
      </c>
      <c r="C21" s="107"/>
      <c r="D21" s="108" t="e">
        <f>#REF!*#REF!</f>
        <v>#REF!</v>
      </c>
      <c r="E21" s="109">
        <v>1080000</v>
      </c>
    </row>
    <row r="22" spans="1:7" s="85" customFormat="1" ht="17.25" customHeight="1">
      <c r="A22" s="105"/>
      <c r="B22" s="106" t="s">
        <v>26</v>
      </c>
      <c r="C22" s="110"/>
      <c r="D22" s="111" t="e">
        <f>#REF!*#REF!</f>
        <v>#REF!</v>
      </c>
      <c r="E22" s="109">
        <v>1800000</v>
      </c>
    </row>
    <row r="23" spans="1:7" s="85" customFormat="1" ht="17.25" customHeight="1">
      <c r="A23" s="105"/>
      <c r="B23" s="106" t="s">
        <v>27</v>
      </c>
      <c r="C23" s="110"/>
      <c r="D23" s="111"/>
      <c r="E23" s="109">
        <v>280000</v>
      </c>
    </row>
    <row r="24" spans="1:7" s="85" customFormat="1" ht="17.25" customHeight="1">
      <c r="A24" s="105"/>
      <c r="B24" s="112" t="s">
        <v>28</v>
      </c>
      <c r="C24" s="110"/>
      <c r="D24" s="111"/>
      <c r="E24" s="113">
        <v>810000</v>
      </c>
    </row>
    <row r="25" spans="1:7">
      <c r="A25" s="114"/>
      <c r="B25" s="115" t="s">
        <v>21</v>
      </c>
      <c r="C25" s="116"/>
      <c r="D25" s="117"/>
      <c r="E25" s="118">
        <f>E20</f>
        <v>3970000</v>
      </c>
    </row>
    <row r="26" spans="1:7">
      <c r="A26" s="96"/>
      <c r="B26" s="96"/>
      <c r="C26" s="94"/>
      <c r="D26" s="95"/>
      <c r="E26" s="95"/>
    </row>
    <row r="27" spans="1:7">
      <c r="A27" s="92" t="s">
        <v>29</v>
      </c>
      <c r="B27" s="96"/>
      <c r="C27" s="94"/>
      <c r="D27" s="95"/>
      <c r="E27" s="95"/>
    </row>
    <row r="28" spans="1:7">
      <c r="A28" s="92"/>
      <c r="B28" s="96"/>
      <c r="C28" s="94"/>
      <c r="D28" s="95"/>
      <c r="E28" s="95"/>
    </row>
    <row r="29" spans="1:7">
      <c r="A29" s="92"/>
      <c r="B29" s="96"/>
      <c r="C29" s="119" t="s">
        <v>30</v>
      </c>
      <c r="D29" s="96"/>
      <c r="E29" s="95"/>
      <c r="F29" s="88"/>
      <c r="G29" s="88"/>
    </row>
    <row r="30" spans="1:7">
      <c r="A30" s="96"/>
      <c r="B30" s="96"/>
      <c r="C30" s="119"/>
      <c r="D30" s="96"/>
      <c r="E30" s="95"/>
      <c r="F30" s="88"/>
      <c r="G30" s="88"/>
    </row>
    <row r="31" spans="1:7">
      <c r="A31" s="96"/>
      <c r="B31" s="96"/>
      <c r="C31" s="119"/>
      <c r="D31" s="96"/>
      <c r="E31" s="95"/>
      <c r="F31" s="88"/>
      <c r="G31" s="88"/>
    </row>
    <row r="32" spans="1:7">
      <c r="A32" s="96"/>
      <c r="B32" s="96"/>
      <c r="C32" s="120"/>
      <c r="D32" s="96"/>
      <c r="E32" s="95"/>
      <c r="F32" s="88"/>
      <c r="G32" s="88"/>
    </row>
    <row r="33" spans="1:7">
      <c r="A33" s="96"/>
      <c r="B33" s="96"/>
      <c r="C33" s="121" t="s">
        <v>31</v>
      </c>
      <c r="D33" s="96"/>
      <c r="E33" s="95"/>
      <c r="F33" s="88"/>
      <c r="G33" s="88"/>
    </row>
    <row r="34" spans="1:7">
      <c r="A34" s="96"/>
      <c r="B34" s="96"/>
      <c r="C34" s="122" t="s">
        <v>32</v>
      </c>
      <c r="D34" s="123"/>
      <c r="E34" s="123"/>
      <c r="F34" s="124"/>
      <c r="G34" s="124"/>
    </row>
    <row r="39" spans="1:7">
      <c r="B39" s="86" t="s">
        <v>33</v>
      </c>
      <c r="C39" s="88">
        <v>10200000</v>
      </c>
    </row>
    <row r="40" spans="1:7">
      <c r="B40" s="86" t="s">
        <v>34</v>
      </c>
      <c r="C40" s="88">
        <v>2000000</v>
      </c>
    </row>
    <row r="41" spans="1:7">
      <c r="B41" s="86" t="s">
        <v>35</v>
      </c>
      <c r="C41" s="88">
        <v>1800000</v>
      </c>
    </row>
    <row r="42" spans="1:7">
      <c r="B42" s="86" t="s">
        <v>36</v>
      </c>
      <c r="C42" s="125">
        <v>3490000</v>
      </c>
    </row>
    <row r="43" spans="1:7">
      <c r="C43" s="88">
        <f>SUM(C39:C42)</f>
        <v>17490000</v>
      </c>
    </row>
    <row r="44" spans="1:7">
      <c r="B44" s="86" t="s">
        <v>37</v>
      </c>
      <c r="C44" s="126">
        <v>1396830</v>
      </c>
    </row>
    <row r="45" spans="1:7">
      <c r="C45" s="88">
        <f>C43-C44</f>
        <v>16093170</v>
      </c>
    </row>
    <row r="46" spans="1:7">
      <c r="C46" s="88"/>
    </row>
    <row r="47" spans="1:7">
      <c r="C47" s="88"/>
    </row>
  </sheetData>
  <mergeCells count="9">
    <mergeCell ref="A6:E6"/>
    <mergeCell ref="A7:E7"/>
    <mergeCell ref="A8:E8"/>
    <mergeCell ref="A17:E17"/>
    <mergeCell ref="A1:E1"/>
    <mergeCell ref="A2:E2"/>
    <mergeCell ref="A3:E3"/>
    <mergeCell ref="A4:E4"/>
    <mergeCell ref="A5:E5"/>
  </mergeCells>
  <hyperlinks>
    <hyperlink ref="A8" r:id="rId1"/>
  </hyperlinks>
  <pageMargins left="0.7" right="0.7" top="0.75" bottom="0.75" header="0.3" footer="0.3"/>
  <pageSetup paperSize="9" scale="85" orientation="portrait" horizontalDpi="360" verticalDpi="36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view="pageLayout" topLeftCell="A31" zoomScale="130" zoomScaleNormal="100" zoomScalePageLayoutView="130" workbookViewId="0">
      <selection activeCell="F17" sqref="F17"/>
    </sheetView>
  </sheetViews>
  <sheetFormatPr defaultColWidth="9" defaultRowHeight="15"/>
  <cols>
    <col min="1" max="1" width="7.5703125" style="4" customWidth="1"/>
    <col min="2" max="2" width="42.140625" style="4" customWidth="1"/>
    <col min="3" max="3" width="19.5703125" style="5" customWidth="1"/>
    <col min="4" max="4" width="9.85546875" style="6" hidden="1" customWidth="1"/>
    <col min="5" max="5" width="16.28515625" style="6" customWidth="1"/>
    <col min="6" max="218" width="9.140625" style="4"/>
    <col min="219" max="219" width="5.7109375" style="4" customWidth="1"/>
    <col min="220" max="220" width="7.5703125" style="4" customWidth="1"/>
    <col min="221" max="221" width="39" style="4" customWidth="1"/>
    <col min="222" max="222" width="20.5703125" style="4" customWidth="1"/>
    <col min="223" max="223" width="5.7109375" style="4" customWidth="1"/>
    <col min="224" max="224" width="8.28515625" style="4" customWidth="1"/>
    <col min="225" max="225" width="9.140625" style="4" customWidth="1"/>
    <col min="226" max="226" width="10.7109375" style="4" customWidth="1"/>
    <col min="227" max="227" width="13.5703125" style="4" customWidth="1"/>
    <col min="228" max="474" width="9.140625" style="4"/>
    <col min="475" max="475" width="5.7109375" style="4" customWidth="1"/>
    <col min="476" max="476" width="7.5703125" style="4" customWidth="1"/>
    <col min="477" max="477" width="39" style="4" customWidth="1"/>
    <col min="478" max="478" width="20.5703125" style="4" customWidth="1"/>
    <col min="479" max="479" width="5.7109375" style="4" customWidth="1"/>
    <col min="480" max="480" width="8.28515625" style="4" customWidth="1"/>
    <col min="481" max="481" width="9.140625" style="4" customWidth="1"/>
    <col min="482" max="482" width="10.7109375" style="4" customWidth="1"/>
    <col min="483" max="483" width="13.5703125" style="4" customWidth="1"/>
    <col min="484" max="730" width="9.140625" style="4"/>
    <col min="731" max="731" width="5.7109375" style="4" customWidth="1"/>
    <col min="732" max="732" width="7.5703125" style="4" customWidth="1"/>
    <col min="733" max="733" width="39" style="4" customWidth="1"/>
    <col min="734" max="734" width="20.5703125" style="4" customWidth="1"/>
    <col min="735" max="735" width="5.7109375" style="4" customWidth="1"/>
    <col min="736" max="736" width="8.28515625" style="4" customWidth="1"/>
    <col min="737" max="737" width="9.140625" style="4" customWidth="1"/>
    <col min="738" max="738" width="10.7109375" style="4" customWidth="1"/>
    <col min="739" max="739" width="13.5703125" style="4" customWidth="1"/>
    <col min="740" max="986" width="9.140625" style="4"/>
    <col min="987" max="987" width="5.7109375" style="4" customWidth="1"/>
    <col min="988" max="988" width="7.5703125" style="4" customWidth="1"/>
    <col min="989" max="989" width="39" style="4" customWidth="1"/>
    <col min="990" max="990" width="20.5703125" style="4" customWidth="1"/>
    <col min="991" max="991" width="5.7109375" style="4" customWidth="1"/>
    <col min="992" max="992" width="8.28515625" style="4" customWidth="1"/>
    <col min="993" max="993" width="9.140625" style="4" customWidth="1"/>
    <col min="994" max="994" width="10.7109375" style="4" customWidth="1"/>
    <col min="995" max="995" width="13.5703125" style="4" customWidth="1"/>
    <col min="996" max="1242" width="9.140625" style="4"/>
    <col min="1243" max="1243" width="5.7109375" style="4" customWidth="1"/>
    <col min="1244" max="1244" width="7.5703125" style="4" customWidth="1"/>
    <col min="1245" max="1245" width="39" style="4" customWidth="1"/>
    <col min="1246" max="1246" width="20.5703125" style="4" customWidth="1"/>
    <col min="1247" max="1247" width="5.7109375" style="4" customWidth="1"/>
    <col min="1248" max="1248" width="8.28515625" style="4" customWidth="1"/>
    <col min="1249" max="1249" width="9.140625" style="4" customWidth="1"/>
    <col min="1250" max="1250" width="10.7109375" style="4" customWidth="1"/>
    <col min="1251" max="1251" width="13.5703125" style="4" customWidth="1"/>
    <col min="1252" max="1498" width="9.140625" style="4"/>
    <col min="1499" max="1499" width="5.7109375" style="4" customWidth="1"/>
    <col min="1500" max="1500" width="7.5703125" style="4" customWidth="1"/>
    <col min="1501" max="1501" width="39" style="4" customWidth="1"/>
    <col min="1502" max="1502" width="20.5703125" style="4" customWidth="1"/>
    <col min="1503" max="1503" width="5.7109375" style="4" customWidth="1"/>
    <col min="1504" max="1504" width="8.28515625" style="4" customWidth="1"/>
    <col min="1505" max="1505" width="9.140625" style="4" customWidth="1"/>
    <col min="1506" max="1506" width="10.7109375" style="4" customWidth="1"/>
    <col min="1507" max="1507" width="13.5703125" style="4" customWidth="1"/>
    <col min="1508" max="1754" width="9.140625" style="4"/>
    <col min="1755" max="1755" width="5.7109375" style="4" customWidth="1"/>
    <col min="1756" max="1756" width="7.5703125" style="4" customWidth="1"/>
    <col min="1757" max="1757" width="39" style="4" customWidth="1"/>
    <col min="1758" max="1758" width="20.5703125" style="4" customWidth="1"/>
    <col min="1759" max="1759" width="5.7109375" style="4" customWidth="1"/>
    <col min="1760" max="1760" width="8.28515625" style="4" customWidth="1"/>
    <col min="1761" max="1761" width="9.140625" style="4" customWidth="1"/>
    <col min="1762" max="1762" width="10.7109375" style="4" customWidth="1"/>
    <col min="1763" max="1763" width="13.5703125" style="4" customWidth="1"/>
    <col min="1764" max="2010" width="9.140625" style="4"/>
    <col min="2011" max="2011" width="5.7109375" style="4" customWidth="1"/>
    <col min="2012" max="2012" width="7.5703125" style="4" customWidth="1"/>
    <col min="2013" max="2013" width="39" style="4" customWidth="1"/>
    <col min="2014" max="2014" width="20.5703125" style="4" customWidth="1"/>
    <col min="2015" max="2015" width="5.7109375" style="4" customWidth="1"/>
    <col min="2016" max="2016" width="8.28515625" style="4" customWidth="1"/>
    <col min="2017" max="2017" width="9.140625" style="4" customWidth="1"/>
    <col min="2018" max="2018" width="10.7109375" style="4" customWidth="1"/>
    <col min="2019" max="2019" width="13.5703125" style="4" customWidth="1"/>
    <col min="2020" max="2266" width="9.140625" style="4"/>
    <col min="2267" max="2267" width="5.7109375" style="4" customWidth="1"/>
    <col min="2268" max="2268" width="7.5703125" style="4" customWidth="1"/>
    <col min="2269" max="2269" width="39" style="4" customWidth="1"/>
    <col min="2270" max="2270" width="20.5703125" style="4" customWidth="1"/>
    <col min="2271" max="2271" width="5.7109375" style="4" customWidth="1"/>
    <col min="2272" max="2272" width="8.28515625" style="4" customWidth="1"/>
    <col min="2273" max="2273" width="9.140625" style="4" customWidth="1"/>
    <col min="2274" max="2274" width="10.7109375" style="4" customWidth="1"/>
    <col min="2275" max="2275" width="13.5703125" style="4" customWidth="1"/>
    <col min="2276" max="2522" width="9.140625" style="4"/>
    <col min="2523" max="2523" width="5.7109375" style="4" customWidth="1"/>
    <col min="2524" max="2524" width="7.5703125" style="4" customWidth="1"/>
    <col min="2525" max="2525" width="39" style="4" customWidth="1"/>
    <col min="2526" max="2526" width="20.5703125" style="4" customWidth="1"/>
    <col min="2527" max="2527" width="5.7109375" style="4" customWidth="1"/>
    <col min="2528" max="2528" width="8.28515625" style="4" customWidth="1"/>
    <col min="2529" max="2529" width="9.140625" style="4" customWidth="1"/>
    <col min="2530" max="2530" width="10.7109375" style="4" customWidth="1"/>
    <col min="2531" max="2531" width="13.5703125" style="4" customWidth="1"/>
    <col min="2532" max="2778" width="9.140625" style="4"/>
    <col min="2779" max="2779" width="5.7109375" style="4" customWidth="1"/>
    <col min="2780" max="2780" width="7.5703125" style="4" customWidth="1"/>
    <col min="2781" max="2781" width="39" style="4" customWidth="1"/>
    <col min="2782" max="2782" width="20.5703125" style="4" customWidth="1"/>
    <col min="2783" max="2783" width="5.7109375" style="4" customWidth="1"/>
    <col min="2784" max="2784" width="8.28515625" style="4" customWidth="1"/>
    <col min="2785" max="2785" width="9.140625" style="4" customWidth="1"/>
    <col min="2786" max="2786" width="10.7109375" style="4" customWidth="1"/>
    <col min="2787" max="2787" width="13.5703125" style="4" customWidth="1"/>
    <col min="2788" max="3034" width="9.140625" style="4"/>
    <col min="3035" max="3035" width="5.7109375" style="4" customWidth="1"/>
    <col min="3036" max="3036" width="7.5703125" style="4" customWidth="1"/>
    <col min="3037" max="3037" width="39" style="4" customWidth="1"/>
    <col min="3038" max="3038" width="20.5703125" style="4" customWidth="1"/>
    <col min="3039" max="3039" width="5.7109375" style="4" customWidth="1"/>
    <col min="3040" max="3040" width="8.28515625" style="4" customWidth="1"/>
    <col min="3041" max="3041" width="9.140625" style="4" customWidth="1"/>
    <col min="3042" max="3042" width="10.7109375" style="4" customWidth="1"/>
    <col min="3043" max="3043" width="13.5703125" style="4" customWidth="1"/>
    <col min="3044" max="3290" width="9.140625" style="4"/>
    <col min="3291" max="3291" width="5.7109375" style="4" customWidth="1"/>
    <col min="3292" max="3292" width="7.5703125" style="4" customWidth="1"/>
    <col min="3293" max="3293" width="39" style="4" customWidth="1"/>
    <col min="3294" max="3294" width="20.5703125" style="4" customWidth="1"/>
    <col min="3295" max="3295" width="5.7109375" style="4" customWidth="1"/>
    <col min="3296" max="3296" width="8.28515625" style="4" customWidth="1"/>
    <col min="3297" max="3297" width="9.140625" style="4" customWidth="1"/>
    <col min="3298" max="3298" width="10.7109375" style="4" customWidth="1"/>
    <col min="3299" max="3299" width="13.5703125" style="4" customWidth="1"/>
    <col min="3300" max="3546" width="9.140625" style="4"/>
    <col min="3547" max="3547" width="5.7109375" style="4" customWidth="1"/>
    <col min="3548" max="3548" width="7.5703125" style="4" customWidth="1"/>
    <col min="3549" max="3549" width="39" style="4" customWidth="1"/>
    <col min="3550" max="3550" width="20.5703125" style="4" customWidth="1"/>
    <col min="3551" max="3551" width="5.7109375" style="4" customWidth="1"/>
    <col min="3552" max="3552" width="8.28515625" style="4" customWidth="1"/>
    <col min="3553" max="3553" width="9.140625" style="4" customWidth="1"/>
    <col min="3554" max="3554" width="10.7109375" style="4" customWidth="1"/>
    <col min="3555" max="3555" width="13.5703125" style="4" customWidth="1"/>
    <col min="3556" max="3802" width="9.140625" style="4"/>
    <col min="3803" max="3803" width="5.7109375" style="4" customWidth="1"/>
    <col min="3804" max="3804" width="7.5703125" style="4" customWidth="1"/>
    <col min="3805" max="3805" width="39" style="4" customWidth="1"/>
    <col min="3806" max="3806" width="20.5703125" style="4" customWidth="1"/>
    <col min="3807" max="3807" width="5.7109375" style="4" customWidth="1"/>
    <col min="3808" max="3808" width="8.28515625" style="4" customWidth="1"/>
    <col min="3809" max="3809" width="9.140625" style="4" customWidth="1"/>
    <col min="3810" max="3810" width="10.7109375" style="4" customWidth="1"/>
    <col min="3811" max="3811" width="13.5703125" style="4" customWidth="1"/>
    <col min="3812" max="4058" width="9.140625" style="4"/>
    <col min="4059" max="4059" width="5.7109375" style="4" customWidth="1"/>
    <col min="4060" max="4060" width="7.5703125" style="4" customWidth="1"/>
    <col min="4061" max="4061" width="39" style="4" customWidth="1"/>
    <col min="4062" max="4062" width="20.5703125" style="4" customWidth="1"/>
    <col min="4063" max="4063" width="5.7109375" style="4" customWidth="1"/>
    <col min="4064" max="4064" width="8.28515625" style="4" customWidth="1"/>
    <col min="4065" max="4065" width="9.140625" style="4" customWidth="1"/>
    <col min="4066" max="4066" width="10.7109375" style="4" customWidth="1"/>
    <col min="4067" max="4067" width="13.5703125" style="4" customWidth="1"/>
    <col min="4068" max="4314" width="9.140625" style="4"/>
    <col min="4315" max="4315" width="5.7109375" style="4" customWidth="1"/>
    <col min="4316" max="4316" width="7.5703125" style="4" customWidth="1"/>
    <col min="4317" max="4317" width="39" style="4" customWidth="1"/>
    <col min="4318" max="4318" width="20.5703125" style="4" customWidth="1"/>
    <col min="4319" max="4319" width="5.7109375" style="4" customWidth="1"/>
    <col min="4320" max="4320" width="8.28515625" style="4" customWidth="1"/>
    <col min="4321" max="4321" width="9.140625" style="4" customWidth="1"/>
    <col min="4322" max="4322" width="10.7109375" style="4" customWidth="1"/>
    <col min="4323" max="4323" width="13.5703125" style="4" customWidth="1"/>
    <col min="4324" max="4570" width="9.140625" style="4"/>
    <col min="4571" max="4571" width="5.7109375" style="4" customWidth="1"/>
    <col min="4572" max="4572" width="7.5703125" style="4" customWidth="1"/>
    <col min="4573" max="4573" width="39" style="4" customWidth="1"/>
    <col min="4574" max="4574" width="20.5703125" style="4" customWidth="1"/>
    <col min="4575" max="4575" width="5.7109375" style="4" customWidth="1"/>
    <col min="4576" max="4576" width="8.28515625" style="4" customWidth="1"/>
    <col min="4577" max="4577" width="9.140625" style="4" customWidth="1"/>
    <col min="4578" max="4578" width="10.7109375" style="4" customWidth="1"/>
    <col min="4579" max="4579" width="13.5703125" style="4" customWidth="1"/>
    <col min="4580" max="4826" width="9.140625" style="4"/>
    <col min="4827" max="4827" width="5.7109375" style="4" customWidth="1"/>
    <col min="4828" max="4828" width="7.5703125" style="4" customWidth="1"/>
    <col min="4829" max="4829" width="39" style="4" customWidth="1"/>
    <col min="4830" max="4830" width="20.5703125" style="4" customWidth="1"/>
    <col min="4831" max="4831" width="5.7109375" style="4" customWidth="1"/>
    <col min="4832" max="4832" width="8.28515625" style="4" customWidth="1"/>
    <col min="4833" max="4833" width="9.140625" style="4" customWidth="1"/>
    <col min="4834" max="4834" width="10.7109375" style="4" customWidth="1"/>
    <col min="4835" max="4835" width="13.5703125" style="4" customWidth="1"/>
    <col min="4836" max="5082" width="9.140625" style="4"/>
    <col min="5083" max="5083" width="5.7109375" style="4" customWidth="1"/>
    <col min="5084" max="5084" width="7.5703125" style="4" customWidth="1"/>
    <col min="5085" max="5085" width="39" style="4" customWidth="1"/>
    <col min="5086" max="5086" width="20.5703125" style="4" customWidth="1"/>
    <col min="5087" max="5087" width="5.7109375" style="4" customWidth="1"/>
    <col min="5088" max="5088" width="8.28515625" style="4" customWidth="1"/>
    <col min="5089" max="5089" width="9.140625" style="4" customWidth="1"/>
    <col min="5090" max="5090" width="10.7109375" style="4" customWidth="1"/>
    <col min="5091" max="5091" width="13.5703125" style="4" customWidth="1"/>
    <col min="5092" max="5338" width="9.140625" style="4"/>
    <col min="5339" max="5339" width="5.7109375" style="4" customWidth="1"/>
    <col min="5340" max="5340" width="7.5703125" style="4" customWidth="1"/>
    <col min="5341" max="5341" width="39" style="4" customWidth="1"/>
    <col min="5342" max="5342" width="20.5703125" style="4" customWidth="1"/>
    <col min="5343" max="5343" width="5.7109375" style="4" customWidth="1"/>
    <col min="5344" max="5344" width="8.28515625" style="4" customWidth="1"/>
    <col min="5345" max="5345" width="9.140625" style="4" customWidth="1"/>
    <col min="5346" max="5346" width="10.7109375" style="4" customWidth="1"/>
    <col min="5347" max="5347" width="13.5703125" style="4" customWidth="1"/>
    <col min="5348" max="5594" width="9.140625" style="4"/>
    <col min="5595" max="5595" width="5.7109375" style="4" customWidth="1"/>
    <col min="5596" max="5596" width="7.5703125" style="4" customWidth="1"/>
    <col min="5597" max="5597" width="39" style="4" customWidth="1"/>
    <col min="5598" max="5598" width="20.5703125" style="4" customWidth="1"/>
    <col min="5599" max="5599" width="5.7109375" style="4" customWidth="1"/>
    <col min="5600" max="5600" width="8.28515625" style="4" customWidth="1"/>
    <col min="5601" max="5601" width="9.140625" style="4" customWidth="1"/>
    <col min="5602" max="5602" width="10.7109375" style="4" customWidth="1"/>
    <col min="5603" max="5603" width="13.5703125" style="4" customWidth="1"/>
    <col min="5604" max="5850" width="9.140625" style="4"/>
    <col min="5851" max="5851" width="5.7109375" style="4" customWidth="1"/>
    <col min="5852" max="5852" width="7.5703125" style="4" customWidth="1"/>
    <col min="5853" max="5853" width="39" style="4" customWidth="1"/>
    <col min="5854" max="5854" width="20.5703125" style="4" customWidth="1"/>
    <col min="5855" max="5855" width="5.7109375" style="4" customWidth="1"/>
    <col min="5856" max="5856" width="8.28515625" style="4" customWidth="1"/>
    <col min="5857" max="5857" width="9.140625" style="4" customWidth="1"/>
    <col min="5858" max="5858" width="10.7109375" style="4" customWidth="1"/>
    <col min="5859" max="5859" width="13.5703125" style="4" customWidth="1"/>
    <col min="5860" max="6106" width="9.140625" style="4"/>
    <col min="6107" max="6107" width="5.7109375" style="4" customWidth="1"/>
    <col min="6108" max="6108" width="7.5703125" style="4" customWidth="1"/>
    <col min="6109" max="6109" width="39" style="4" customWidth="1"/>
    <col min="6110" max="6110" width="20.5703125" style="4" customWidth="1"/>
    <col min="6111" max="6111" width="5.7109375" style="4" customWidth="1"/>
    <col min="6112" max="6112" width="8.28515625" style="4" customWidth="1"/>
    <col min="6113" max="6113" width="9.140625" style="4" customWidth="1"/>
    <col min="6114" max="6114" width="10.7109375" style="4" customWidth="1"/>
    <col min="6115" max="6115" width="13.5703125" style="4" customWidth="1"/>
    <col min="6116" max="6362" width="9.140625" style="4"/>
    <col min="6363" max="6363" width="5.7109375" style="4" customWidth="1"/>
    <col min="6364" max="6364" width="7.5703125" style="4" customWidth="1"/>
    <col min="6365" max="6365" width="39" style="4" customWidth="1"/>
    <col min="6366" max="6366" width="20.5703125" style="4" customWidth="1"/>
    <col min="6367" max="6367" width="5.7109375" style="4" customWidth="1"/>
    <col min="6368" max="6368" width="8.28515625" style="4" customWidth="1"/>
    <col min="6369" max="6369" width="9.140625" style="4" customWidth="1"/>
    <col min="6370" max="6370" width="10.7109375" style="4" customWidth="1"/>
    <col min="6371" max="6371" width="13.5703125" style="4" customWidth="1"/>
    <col min="6372" max="6618" width="9.140625" style="4"/>
    <col min="6619" max="6619" width="5.7109375" style="4" customWidth="1"/>
    <col min="6620" max="6620" width="7.5703125" style="4" customWidth="1"/>
    <col min="6621" max="6621" width="39" style="4" customWidth="1"/>
    <col min="6622" max="6622" width="20.5703125" style="4" customWidth="1"/>
    <col min="6623" max="6623" width="5.7109375" style="4" customWidth="1"/>
    <col min="6624" max="6624" width="8.28515625" style="4" customWidth="1"/>
    <col min="6625" max="6625" width="9.140625" style="4" customWidth="1"/>
    <col min="6626" max="6626" width="10.7109375" style="4" customWidth="1"/>
    <col min="6627" max="6627" width="13.5703125" style="4" customWidth="1"/>
    <col min="6628" max="6874" width="9.140625" style="4"/>
    <col min="6875" max="6875" width="5.7109375" style="4" customWidth="1"/>
    <col min="6876" max="6876" width="7.5703125" style="4" customWidth="1"/>
    <col min="6877" max="6877" width="39" style="4" customWidth="1"/>
    <col min="6878" max="6878" width="20.5703125" style="4" customWidth="1"/>
    <col min="6879" max="6879" width="5.7109375" style="4" customWidth="1"/>
    <col min="6880" max="6880" width="8.28515625" style="4" customWidth="1"/>
    <col min="6881" max="6881" width="9.140625" style="4" customWidth="1"/>
    <col min="6882" max="6882" width="10.7109375" style="4" customWidth="1"/>
    <col min="6883" max="6883" width="13.5703125" style="4" customWidth="1"/>
    <col min="6884" max="7130" width="9.140625" style="4"/>
    <col min="7131" max="7131" width="5.7109375" style="4" customWidth="1"/>
    <col min="7132" max="7132" width="7.5703125" style="4" customWidth="1"/>
    <col min="7133" max="7133" width="39" style="4" customWidth="1"/>
    <col min="7134" max="7134" width="20.5703125" style="4" customWidth="1"/>
    <col min="7135" max="7135" width="5.7109375" style="4" customWidth="1"/>
    <col min="7136" max="7136" width="8.28515625" style="4" customWidth="1"/>
    <col min="7137" max="7137" width="9.140625" style="4" customWidth="1"/>
    <col min="7138" max="7138" width="10.7109375" style="4" customWidth="1"/>
    <col min="7139" max="7139" width="13.5703125" style="4" customWidth="1"/>
    <col min="7140" max="7386" width="9.140625" style="4"/>
    <col min="7387" max="7387" width="5.7109375" style="4" customWidth="1"/>
    <col min="7388" max="7388" width="7.5703125" style="4" customWidth="1"/>
    <col min="7389" max="7389" width="39" style="4" customWidth="1"/>
    <col min="7390" max="7390" width="20.5703125" style="4" customWidth="1"/>
    <col min="7391" max="7391" width="5.7109375" style="4" customWidth="1"/>
    <col min="7392" max="7392" width="8.28515625" style="4" customWidth="1"/>
    <col min="7393" max="7393" width="9.140625" style="4" customWidth="1"/>
    <col min="7394" max="7394" width="10.7109375" style="4" customWidth="1"/>
    <col min="7395" max="7395" width="13.5703125" style="4" customWidth="1"/>
    <col min="7396" max="7642" width="9.140625" style="4"/>
    <col min="7643" max="7643" width="5.7109375" style="4" customWidth="1"/>
    <col min="7644" max="7644" width="7.5703125" style="4" customWidth="1"/>
    <col min="7645" max="7645" width="39" style="4" customWidth="1"/>
    <col min="7646" max="7646" width="20.5703125" style="4" customWidth="1"/>
    <col min="7647" max="7647" width="5.7109375" style="4" customWidth="1"/>
    <col min="7648" max="7648" width="8.28515625" style="4" customWidth="1"/>
    <col min="7649" max="7649" width="9.140625" style="4" customWidth="1"/>
    <col min="7650" max="7650" width="10.7109375" style="4" customWidth="1"/>
    <col min="7651" max="7651" width="13.5703125" style="4" customWidth="1"/>
    <col min="7652" max="7898" width="9.140625" style="4"/>
    <col min="7899" max="7899" width="5.7109375" style="4" customWidth="1"/>
    <col min="7900" max="7900" width="7.5703125" style="4" customWidth="1"/>
    <col min="7901" max="7901" width="39" style="4" customWidth="1"/>
    <col min="7902" max="7902" width="20.5703125" style="4" customWidth="1"/>
    <col min="7903" max="7903" width="5.7109375" style="4" customWidth="1"/>
    <col min="7904" max="7904" width="8.28515625" style="4" customWidth="1"/>
    <col min="7905" max="7905" width="9.140625" style="4" customWidth="1"/>
    <col min="7906" max="7906" width="10.7109375" style="4" customWidth="1"/>
    <col min="7907" max="7907" width="13.5703125" style="4" customWidth="1"/>
    <col min="7908" max="8154" width="9.140625" style="4"/>
    <col min="8155" max="8155" width="5.7109375" style="4" customWidth="1"/>
    <col min="8156" max="8156" width="7.5703125" style="4" customWidth="1"/>
    <col min="8157" max="8157" width="39" style="4" customWidth="1"/>
    <col min="8158" max="8158" width="20.5703125" style="4" customWidth="1"/>
    <col min="8159" max="8159" width="5.7109375" style="4" customWidth="1"/>
    <col min="8160" max="8160" width="8.28515625" style="4" customWidth="1"/>
    <col min="8161" max="8161" width="9.140625" style="4" customWidth="1"/>
    <col min="8162" max="8162" width="10.7109375" style="4" customWidth="1"/>
    <col min="8163" max="8163" width="13.5703125" style="4" customWidth="1"/>
    <col min="8164" max="8410" width="9.140625" style="4"/>
    <col min="8411" max="8411" width="5.7109375" style="4" customWidth="1"/>
    <col min="8412" max="8412" width="7.5703125" style="4" customWidth="1"/>
    <col min="8413" max="8413" width="39" style="4" customWidth="1"/>
    <col min="8414" max="8414" width="20.5703125" style="4" customWidth="1"/>
    <col min="8415" max="8415" width="5.7109375" style="4" customWidth="1"/>
    <col min="8416" max="8416" width="8.28515625" style="4" customWidth="1"/>
    <col min="8417" max="8417" width="9.140625" style="4" customWidth="1"/>
    <col min="8418" max="8418" width="10.7109375" style="4" customWidth="1"/>
    <col min="8419" max="8419" width="13.5703125" style="4" customWidth="1"/>
    <col min="8420" max="8666" width="9.140625" style="4"/>
    <col min="8667" max="8667" width="5.7109375" style="4" customWidth="1"/>
    <col min="8668" max="8668" width="7.5703125" style="4" customWidth="1"/>
    <col min="8669" max="8669" width="39" style="4" customWidth="1"/>
    <col min="8670" max="8670" width="20.5703125" style="4" customWidth="1"/>
    <col min="8671" max="8671" width="5.7109375" style="4" customWidth="1"/>
    <col min="8672" max="8672" width="8.28515625" style="4" customWidth="1"/>
    <col min="8673" max="8673" width="9.140625" style="4" customWidth="1"/>
    <col min="8674" max="8674" width="10.7109375" style="4" customWidth="1"/>
    <col min="8675" max="8675" width="13.5703125" style="4" customWidth="1"/>
    <col min="8676" max="8922" width="9.140625" style="4"/>
    <col min="8923" max="8923" width="5.7109375" style="4" customWidth="1"/>
    <col min="8924" max="8924" width="7.5703125" style="4" customWidth="1"/>
    <col min="8925" max="8925" width="39" style="4" customWidth="1"/>
    <col min="8926" max="8926" width="20.5703125" style="4" customWidth="1"/>
    <col min="8927" max="8927" width="5.7109375" style="4" customWidth="1"/>
    <col min="8928" max="8928" width="8.28515625" style="4" customWidth="1"/>
    <col min="8929" max="8929" width="9.140625" style="4" customWidth="1"/>
    <col min="8930" max="8930" width="10.7109375" style="4" customWidth="1"/>
    <col min="8931" max="8931" width="13.5703125" style="4" customWidth="1"/>
    <col min="8932" max="9178" width="9.140625" style="4"/>
    <col min="9179" max="9179" width="5.7109375" style="4" customWidth="1"/>
    <col min="9180" max="9180" width="7.5703125" style="4" customWidth="1"/>
    <col min="9181" max="9181" width="39" style="4" customWidth="1"/>
    <col min="9182" max="9182" width="20.5703125" style="4" customWidth="1"/>
    <col min="9183" max="9183" width="5.7109375" style="4" customWidth="1"/>
    <col min="9184" max="9184" width="8.28515625" style="4" customWidth="1"/>
    <col min="9185" max="9185" width="9.140625" style="4" customWidth="1"/>
    <col min="9186" max="9186" width="10.7109375" style="4" customWidth="1"/>
    <col min="9187" max="9187" width="13.5703125" style="4" customWidth="1"/>
    <col min="9188" max="9434" width="9.140625" style="4"/>
    <col min="9435" max="9435" width="5.7109375" style="4" customWidth="1"/>
    <col min="9436" max="9436" width="7.5703125" style="4" customWidth="1"/>
    <col min="9437" max="9437" width="39" style="4" customWidth="1"/>
    <col min="9438" max="9438" width="20.5703125" style="4" customWidth="1"/>
    <col min="9439" max="9439" width="5.7109375" style="4" customWidth="1"/>
    <col min="9440" max="9440" width="8.28515625" style="4" customWidth="1"/>
    <col min="9441" max="9441" width="9.140625" style="4" customWidth="1"/>
    <col min="9442" max="9442" width="10.7109375" style="4" customWidth="1"/>
    <col min="9443" max="9443" width="13.5703125" style="4" customWidth="1"/>
    <col min="9444" max="9690" width="9.140625" style="4"/>
    <col min="9691" max="9691" width="5.7109375" style="4" customWidth="1"/>
    <col min="9692" max="9692" width="7.5703125" style="4" customWidth="1"/>
    <col min="9693" max="9693" width="39" style="4" customWidth="1"/>
    <col min="9694" max="9694" width="20.5703125" style="4" customWidth="1"/>
    <col min="9695" max="9695" width="5.7109375" style="4" customWidth="1"/>
    <col min="9696" max="9696" width="8.28515625" style="4" customWidth="1"/>
    <col min="9697" max="9697" width="9.140625" style="4" customWidth="1"/>
    <col min="9698" max="9698" width="10.7109375" style="4" customWidth="1"/>
    <col min="9699" max="9699" width="13.5703125" style="4" customWidth="1"/>
    <col min="9700" max="9946" width="9.140625" style="4"/>
    <col min="9947" max="9947" width="5.7109375" style="4" customWidth="1"/>
    <col min="9948" max="9948" width="7.5703125" style="4" customWidth="1"/>
    <col min="9949" max="9949" width="39" style="4" customWidth="1"/>
    <col min="9950" max="9950" width="20.5703125" style="4" customWidth="1"/>
    <col min="9951" max="9951" width="5.7109375" style="4" customWidth="1"/>
    <col min="9952" max="9952" width="8.28515625" style="4" customWidth="1"/>
    <col min="9953" max="9953" width="9.140625" style="4" customWidth="1"/>
    <col min="9954" max="9954" width="10.7109375" style="4" customWidth="1"/>
    <col min="9955" max="9955" width="13.5703125" style="4" customWidth="1"/>
    <col min="9956" max="10202" width="9.140625" style="4"/>
    <col min="10203" max="10203" width="5.7109375" style="4" customWidth="1"/>
    <col min="10204" max="10204" width="7.5703125" style="4" customWidth="1"/>
    <col min="10205" max="10205" width="39" style="4" customWidth="1"/>
    <col min="10206" max="10206" width="20.5703125" style="4" customWidth="1"/>
    <col min="10207" max="10207" width="5.7109375" style="4" customWidth="1"/>
    <col min="10208" max="10208" width="8.28515625" style="4" customWidth="1"/>
    <col min="10209" max="10209" width="9.140625" style="4" customWidth="1"/>
    <col min="10210" max="10210" width="10.7109375" style="4" customWidth="1"/>
    <col min="10211" max="10211" width="13.5703125" style="4" customWidth="1"/>
    <col min="10212" max="10458" width="9.140625" style="4"/>
    <col min="10459" max="10459" width="5.7109375" style="4" customWidth="1"/>
    <col min="10460" max="10460" width="7.5703125" style="4" customWidth="1"/>
    <col min="10461" max="10461" width="39" style="4" customWidth="1"/>
    <col min="10462" max="10462" width="20.5703125" style="4" customWidth="1"/>
    <col min="10463" max="10463" width="5.7109375" style="4" customWidth="1"/>
    <col min="10464" max="10464" width="8.28515625" style="4" customWidth="1"/>
    <col min="10465" max="10465" width="9.140625" style="4" customWidth="1"/>
    <col min="10466" max="10466" width="10.7109375" style="4" customWidth="1"/>
    <col min="10467" max="10467" width="13.5703125" style="4" customWidth="1"/>
    <col min="10468" max="10714" width="9.140625" style="4"/>
    <col min="10715" max="10715" width="5.7109375" style="4" customWidth="1"/>
    <col min="10716" max="10716" width="7.5703125" style="4" customWidth="1"/>
    <col min="10717" max="10717" width="39" style="4" customWidth="1"/>
    <col min="10718" max="10718" width="20.5703125" style="4" customWidth="1"/>
    <col min="10719" max="10719" width="5.7109375" style="4" customWidth="1"/>
    <col min="10720" max="10720" width="8.28515625" style="4" customWidth="1"/>
    <col min="10721" max="10721" width="9.140625" style="4" customWidth="1"/>
    <col min="10722" max="10722" width="10.7109375" style="4" customWidth="1"/>
    <col min="10723" max="10723" width="13.5703125" style="4" customWidth="1"/>
    <col min="10724" max="10970" width="9.140625" style="4"/>
    <col min="10971" max="10971" width="5.7109375" style="4" customWidth="1"/>
    <col min="10972" max="10972" width="7.5703125" style="4" customWidth="1"/>
    <col min="10973" max="10973" width="39" style="4" customWidth="1"/>
    <col min="10974" max="10974" width="20.5703125" style="4" customWidth="1"/>
    <col min="10975" max="10975" width="5.7109375" style="4" customWidth="1"/>
    <col min="10976" max="10976" width="8.28515625" style="4" customWidth="1"/>
    <col min="10977" max="10977" width="9.140625" style="4" customWidth="1"/>
    <col min="10978" max="10978" width="10.7109375" style="4" customWidth="1"/>
    <col min="10979" max="10979" width="13.5703125" style="4" customWidth="1"/>
    <col min="10980" max="11226" width="9.140625" style="4"/>
    <col min="11227" max="11227" width="5.7109375" style="4" customWidth="1"/>
    <col min="11228" max="11228" width="7.5703125" style="4" customWidth="1"/>
    <col min="11229" max="11229" width="39" style="4" customWidth="1"/>
    <col min="11230" max="11230" width="20.5703125" style="4" customWidth="1"/>
    <col min="11231" max="11231" width="5.7109375" style="4" customWidth="1"/>
    <col min="11232" max="11232" width="8.28515625" style="4" customWidth="1"/>
    <col min="11233" max="11233" width="9.140625" style="4" customWidth="1"/>
    <col min="11234" max="11234" width="10.7109375" style="4" customWidth="1"/>
    <col min="11235" max="11235" width="13.5703125" style="4" customWidth="1"/>
    <col min="11236" max="11482" width="9.140625" style="4"/>
    <col min="11483" max="11483" width="5.7109375" style="4" customWidth="1"/>
    <col min="11484" max="11484" width="7.5703125" style="4" customWidth="1"/>
    <col min="11485" max="11485" width="39" style="4" customWidth="1"/>
    <col min="11486" max="11486" width="20.5703125" style="4" customWidth="1"/>
    <col min="11487" max="11487" width="5.7109375" style="4" customWidth="1"/>
    <col min="11488" max="11488" width="8.28515625" style="4" customWidth="1"/>
    <col min="11489" max="11489" width="9.140625" style="4" customWidth="1"/>
    <col min="11490" max="11490" width="10.7109375" style="4" customWidth="1"/>
    <col min="11491" max="11491" width="13.5703125" style="4" customWidth="1"/>
    <col min="11492" max="11738" width="9.140625" style="4"/>
    <col min="11739" max="11739" width="5.7109375" style="4" customWidth="1"/>
    <col min="11740" max="11740" width="7.5703125" style="4" customWidth="1"/>
    <col min="11741" max="11741" width="39" style="4" customWidth="1"/>
    <col min="11742" max="11742" width="20.5703125" style="4" customWidth="1"/>
    <col min="11743" max="11743" width="5.7109375" style="4" customWidth="1"/>
    <col min="11744" max="11744" width="8.28515625" style="4" customWidth="1"/>
    <col min="11745" max="11745" width="9.140625" style="4" customWidth="1"/>
    <col min="11746" max="11746" width="10.7109375" style="4" customWidth="1"/>
    <col min="11747" max="11747" width="13.5703125" style="4" customWidth="1"/>
    <col min="11748" max="11994" width="9.140625" style="4"/>
    <col min="11995" max="11995" width="5.7109375" style="4" customWidth="1"/>
    <col min="11996" max="11996" width="7.5703125" style="4" customWidth="1"/>
    <col min="11997" max="11997" width="39" style="4" customWidth="1"/>
    <col min="11998" max="11998" width="20.5703125" style="4" customWidth="1"/>
    <col min="11999" max="11999" width="5.7109375" style="4" customWidth="1"/>
    <col min="12000" max="12000" width="8.28515625" style="4" customWidth="1"/>
    <col min="12001" max="12001" width="9.140625" style="4" customWidth="1"/>
    <col min="12002" max="12002" width="10.7109375" style="4" customWidth="1"/>
    <col min="12003" max="12003" width="13.5703125" style="4" customWidth="1"/>
    <col min="12004" max="12250" width="9.140625" style="4"/>
    <col min="12251" max="12251" width="5.7109375" style="4" customWidth="1"/>
    <col min="12252" max="12252" width="7.5703125" style="4" customWidth="1"/>
    <col min="12253" max="12253" width="39" style="4" customWidth="1"/>
    <col min="12254" max="12254" width="20.5703125" style="4" customWidth="1"/>
    <col min="12255" max="12255" width="5.7109375" style="4" customWidth="1"/>
    <col min="12256" max="12256" width="8.28515625" style="4" customWidth="1"/>
    <col min="12257" max="12257" width="9.140625" style="4" customWidth="1"/>
    <col min="12258" max="12258" width="10.7109375" style="4" customWidth="1"/>
    <col min="12259" max="12259" width="13.5703125" style="4" customWidth="1"/>
    <col min="12260" max="12506" width="9.140625" style="4"/>
    <col min="12507" max="12507" width="5.7109375" style="4" customWidth="1"/>
    <col min="12508" max="12508" width="7.5703125" style="4" customWidth="1"/>
    <col min="12509" max="12509" width="39" style="4" customWidth="1"/>
    <col min="12510" max="12510" width="20.5703125" style="4" customWidth="1"/>
    <col min="12511" max="12511" width="5.7109375" style="4" customWidth="1"/>
    <col min="12512" max="12512" width="8.28515625" style="4" customWidth="1"/>
    <col min="12513" max="12513" width="9.140625" style="4" customWidth="1"/>
    <col min="12514" max="12514" width="10.7109375" style="4" customWidth="1"/>
    <col min="12515" max="12515" width="13.5703125" style="4" customWidth="1"/>
    <col min="12516" max="12762" width="9.140625" style="4"/>
    <col min="12763" max="12763" width="5.7109375" style="4" customWidth="1"/>
    <col min="12764" max="12764" width="7.5703125" style="4" customWidth="1"/>
    <col min="12765" max="12765" width="39" style="4" customWidth="1"/>
    <col min="12766" max="12766" width="20.5703125" style="4" customWidth="1"/>
    <col min="12767" max="12767" width="5.7109375" style="4" customWidth="1"/>
    <col min="12768" max="12768" width="8.28515625" style="4" customWidth="1"/>
    <col min="12769" max="12769" width="9.140625" style="4" customWidth="1"/>
    <col min="12770" max="12770" width="10.7109375" style="4" customWidth="1"/>
    <col min="12771" max="12771" width="13.5703125" style="4" customWidth="1"/>
    <col min="12772" max="13018" width="9.140625" style="4"/>
    <col min="13019" max="13019" width="5.7109375" style="4" customWidth="1"/>
    <col min="13020" max="13020" width="7.5703125" style="4" customWidth="1"/>
    <col min="13021" max="13021" width="39" style="4" customWidth="1"/>
    <col min="13022" max="13022" width="20.5703125" style="4" customWidth="1"/>
    <col min="13023" max="13023" width="5.7109375" style="4" customWidth="1"/>
    <col min="13024" max="13024" width="8.28515625" style="4" customWidth="1"/>
    <col min="13025" max="13025" width="9.140625" style="4" customWidth="1"/>
    <col min="13026" max="13026" width="10.7109375" style="4" customWidth="1"/>
    <col min="13027" max="13027" width="13.5703125" style="4" customWidth="1"/>
    <col min="13028" max="13274" width="9.140625" style="4"/>
    <col min="13275" max="13275" width="5.7109375" style="4" customWidth="1"/>
    <col min="13276" max="13276" width="7.5703125" style="4" customWidth="1"/>
    <col min="13277" max="13277" width="39" style="4" customWidth="1"/>
    <col min="13278" max="13278" width="20.5703125" style="4" customWidth="1"/>
    <col min="13279" max="13279" width="5.7109375" style="4" customWidth="1"/>
    <col min="13280" max="13280" width="8.28515625" style="4" customWidth="1"/>
    <col min="13281" max="13281" width="9.140625" style="4" customWidth="1"/>
    <col min="13282" max="13282" width="10.7109375" style="4" customWidth="1"/>
    <col min="13283" max="13283" width="13.5703125" style="4" customWidth="1"/>
    <col min="13284" max="13530" width="9.140625" style="4"/>
    <col min="13531" max="13531" width="5.7109375" style="4" customWidth="1"/>
    <col min="13532" max="13532" width="7.5703125" style="4" customWidth="1"/>
    <col min="13533" max="13533" width="39" style="4" customWidth="1"/>
    <col min="13534" max="13534" width="20.5703125" style="4" customWidth="1"/>
    <col min="13535" max="13535" width="5.7109375" style="4" customWidth="1"/>
    <col min="13536" max="13536" width="8.28515625" style="4" customWidth="1"/>
    <col min="13537" max="13537" width="9.140625" style="4" customWidth="1"/>
    <col min="13538" max="13538" width="10.7109375" style="4" customWidth="1"/>
    <col min="13539" max="13539" width="13.5703125" style="4" customWidth="1"/>
    <col min="13540" max="13786" width="9.140625" style="4"/>
    <col min="13787" max="13787" width="5.7109375" style="4" customWidth="1"/>
    <col min="13788" max="13788" width="7.5703125" style="4" customWidth="1"/>
    <col min="13789" max="13789" width="39" style="4" customWidth="1"/>
    <col min="13790" max="13790" width="20.5703125" style="4" customWidth="1"/>
    <col min="13791" max="13791" width="5.7109375" style="4" customWidth="1"/>
    <col min="13792" max="13792" width="8.28515625" style="4" customWidth="1"/>
    <col min="13793" max="13793" width="9.140625" style="4" customWidth="1"/>
    <col min="13794" max="13794" width="10.7109375" style="4" customWidth="1"/>
    <col min="13795" max="13795" width="13.5703125" style="4" customWidth="1"/>
    <col min="13796" max="14042" width="9.140625" style="4"/>
    <col min="14043" max="14043" width="5.7109375" style="4" customWidth="1"/>
    <col min="14044" max="14044" width="7.5703125" style="4" customWidth="1"/>
    <col min="14045" max="14045" width="39" style="4" customWidth="1"/>
    <col min="14046" max="14046" width="20.5703125" style="4" customWidth="1"/>
    <col min="14047" max="14047" width="5.7109375" style="4" customWidth="1"/>
    <col min="14048" max="14048" width="8.28515625" style="4" customWidth="1"/>
    <col min="14049" max="14049" width="9.140625" style="4" customWidth="1"/>
    <col min="14050" max="14050" width="10.7109375" style="4" customWidth="1"/>
    <col min="14051" max="14051" width="13.5703125" style="4" customWidth="1"/>
    <col min="14052" max="14298" width="9.140625" style="4"/>
    <col min="14299" max="14299" width="5.7109375" style="4" customWidth="1"/>
    <col min="14300" max="14300" width="7.5703125" style="4" customWidth="1"/>
    <col min="14301" max="14301" width="39" style="4" customWidth="1"/>
    <col min="14302" max="14302" width="20.5703125" style="4" customWidth="1"/>
    <col min="14303" max="14303" width="5.7109375" style="4" customWidth="1"/>
    <col min="14304" max="14304" width="8.28515625" style="4" customWidth="1"/>
    <col min="14305" max="14305" width="9.140625" style="4" customWidth="1"/>
    <col min="14306" max="14306" width="10.7109375" style="4" customWidth="1"/>
    <col min="14307" max="14307" width="13.5703125" style="4" customWidth="1"/>
    <col min="14308" max="14554" width="9.140625" style="4"/>
    <col min="14555" max="14555" width="5.7109375" style="4" customWidth="1"/>
    <col min="14556" max="14556" width="7.5703125" style="4" customWidth="1"/>
    <col min="14557" max="14557" width="39" style="4" customWidth="1"/>
    <col min="14558" max="14558" width="20.5703125" style="4" customWidth="1"/>
    <col min="14559" max="14559" width="5.7109375" style="4" customWidth="1"/>
    <col min="14560" max="14560" width="8.28515625" style="4" customWidth="1"/>
    <col min="14561" max="14561" width="9.140625" style="4" customWidth="1"/>
    <col min="14562" max="14562" width="10.7109375" style="4" customWidth="1"/>
    <col min="14563" max="14563" width="13.5703125" style="4" customWidth="1"/>
    <col min="14564" max="14810" width="9.140625" style="4"/>
    <col min="14811" max="14811" width="5.7109375" style="4" customWidth="1"/>
    <col min="14812" max="14812" width="7.5703125" style="4" customWidth="1"/>
    <col min="14813" max="14813" width="39" style="4" customWidth="1"/>
    <col min="14814" max="14814" width="20.5703125" style="4" customWidth="1"/>
    <col min="14815" max="14815" width="5.7109375" style="4" customWidth="1"/>
    <col min="14816" max="14816" width="8.28515625" style="4" customWidth="1"/>
    <col min="14817" max="14817" width="9.140625" style="4" customWidth="1"/>
    <col min="14818" max="14818" width="10.7109375" style="4" customWidth="1"/>
    <col min="14819" max="14819" width="13.5703125" style="4" customWidth="1"/>
    <col min="14820" max="15066" width="9.140625" style="4"/>
    <col min="15067" max="15067" width="5.7109375" style="4" customWidth="1"/>
    <col min="15068" max="15068" width="7.5703125" style="4" customWidth="1"/>
    <col min="15069" max="15069" width="39" style="4" customWidth="1"/>
    <col min="15070" max="15070" width="20.5703125" style="4" customWidth="1"/>
    <col min="15071" max="15071" width="5.7109375" style="4" customWidth="1"/>
    <col min="15072" max="15072" width="8.28515625" style="4" customWidth="1"/>
    <col min="15073" max="15073" width="9.140625" style="4" customWidth="1"/>
    <col min="15074" max="15074" width="10.7109375" style="4" customWidth="1"/>
    <col min="15075" max="15075" width="13.5703125" style="4" customWidth="1"/>
    <col min="15076" max="15322" width="9.140625" style="4"/>
    <col min="15323" max="15323" width="5.7109375" style="4" customWidth="1"/>
    <col min="15324" max="15324" width="7.5703125" style="4" customWidth="1"/>
    <col min="15325" max="15325" width="39" style="4" customWidth="1"/>
    <col min="15326" max="15326" width="20.5703125" style="4" customWidth="1"/>
    <col min="15327" max="15327" width="5.7109375" style="4" customWidth="1"/>
    <col min="15328" max="15328" width="8.28515625" style="4" customWidth="1"/>
    <col min="15329" max="15329" width="9.140625" style="4" customWidth="1"/>
    <col min="15330" max="15330" width="10.7109375" style="4" customWidth="1"/>
    <col min="15331" max="15331" width="13.5703125" style="4" customWidth="1"/>
    <col min="15332" max="15578" width="9.140625" style="4"/>
    <col min="15579" max="15579" width="5.7109375" style="4" customWidth="1"/>
    <col min="15580" max="15580" width="7.5703125" style="4" customWidth="1"/>
    <col min="15581" max="15581" width="39" style="4" customWidth="1"/>
    <col min="15582" max="15582" width="20.5703125" style="4" customWidth="1"/>
    <col min="15583" max="15583" width="5.7109375" style="4" customWidth="1"/>
    <col min="15584" max="15584" width="8.28515625" style="4" customWidth="1"/>
    <col min="15585" max="15585" width="9.140625" style="4" customWidth="1"/>
    <col min="15586" max="15586" width="10.7109375" style="4" customWidth="1"/>
    <col min="15587" max="15587" width="13.5703125" style="4" customWidth="1"/>
    <col min="15588" max="15834" width="9.140625" style="4"/>
    <col min="15835" max="15835" width="5.7109375" style="4" customWidth="1"/>
    <col min="15836" max="15836" width="7.5703125" style="4" customWidth="1"/>
    <col min="15837" max="15837" width="39" style="4" customWidth="1"/>
    <col min="15838" max="15838" width="20.5703125" style="4" customWidth="1"/>
    <col min="15839" max="15839" width="5.7109375" style="4" customWidth="1"/>
    <col min="15840" max="15840" width="8.28515625" style="4" customWidth="1"/>
    <col min="15841" max="15841" width="9.140625" style="4" customWidth="1"/>
    <col min="15842" max="15842" width="10.7109375" style="4" customWidth="1"/>
    <col min="15843" max="15843" width="13.5703125" style="4" customWidth="1"/>
    <col min="15844" max="16090" width="9.140625" style="4"/>
    <col min="16091" max="16091" width="5.7109375" style="4" customWidth="1"/>
    <col min="16092" max="16092" width="7.5703125" style="4" customWidth="1"/>
    <col min="16093" max="16093" width="39" style="4" customWidth="1"/>
    <col min="16094" max="16094" width="20.5703125" style="4" customWidth="1"/>
    <col min="16095" max="16095" width="5.7109375" style="4" customWidth="1"/>
    <col min="16096" max="16096" width="8.28515625" style="4" customWidth="1"/>
    <col min="16097" max="16097" width="9.140625" style="4" customWidth="1"/>
    <col min="16098" max="16098" width="10.7109375" style="4" customWidth="1"/>
    <col min="16099" max="16099" width="13.5703125" style="4" customWidth="1"/>
    <col min="16100" max="16384" width="9.140625" style="4"/>
  </cols>
  <sheetData>
    <row r="1" spans="1:5" ht="20.25">
      <c r="A1" s="134" t="s">
        <v>38</v>
      </c>
      <c r="B1" s="134"/>
      <c r="C1" s="134"/>
      <c r="D1" s="134"/>
      <c r="E1" s="134"/>
    </row>
    <row r="2" spans="1:5" ht="20.25">
      <c r="A2" s="134" t="s">
        <v>39</v>
      </c>
      <c r="B2" s="134"/>
      <c r="C2" s="134"/>
      <c r="D2" s="134"/>
      <c r="E2" s="134"/>
    </row>
    <row r="3" spans="1:5" ht="18.75">
      <c r="A3" s="135" t="s">
        <v>1</v>
      </c>
      <c r="B3" s="135"/>
      <c r="C3" s="135"/>
      <c r="D3" s="135"/>
      <c r="E3" s="135"/>
    </row>
    <row r="4" spans="1:5" ht="18.75">
      <c r="A4" s="135" t="s">
        <v>2</v>
      </c>
      <c r="B4" s="135"/>
      <c r="C4" s="135"/>
      <c r="D4" s="135"/>
      <c r="E4" s="135"/>
    </row>
    <row r="5" spans="1:5" ht="18.75">
      <c r="A5" s="135" t="s">
        <v>3</v>
      </c>
      <c r="B5" s="135"/>
      <c r="C5" s="135"/>
      <c r="D5" s="135"/>
      <c r="E5" s="135"/>
    </row>
    <row r="6" spans="1:5" ht="18.75">
      <c r="A6" s="136" t="s">
        <v>4</v>
      </c>
      <c r="B6" s="136"/>
      <c r="C6" s="136"/>
      <c r="D6" s="136"/>
      <c r="E6" s="136"/>
    </row>
    <row r="7" spans="1:5" ht="15.75">
      <c r="A7" s="137" t="s">
        <v>40</v>
      </c>
      <c r="B7" s="137"/>
      <c r="C7" s="137"/>
      <c r="D7" s="137"/>
      <c r="E7" s="137"/>
    </row>
    <row r="8" spans="1:5" ht="15.75">
      <c r="A8" s="138" t="s">
        <v>41</v>
      </c>
      <c r="B8" s="138"/>
      <c r="C8" s="138"/>
      <c r="D8" s="138"/>
      <c r="E8" s="138"/>
    </row>
    <row r="9" spans="1:5" ht="15.75">
      <c r="A9" s="7"/>
      <c r="B9" s="7"/>
      <c r="C9" s="7"/>
      <c r="D9" s="7"/>
      <c r="E9" s="7"/>
    </row>
    <row r="10" spans="1:5" ht="15.75">
      <c r="A10" s="8" t="s">
        <v>8</v>
      </c>
      <c r="B10" s="9" t="s">
        <v>42</v>
      </c>
      <c r="C10" s="10"/>
      <c r="D10" s="128" t="s">
        <v>10</v>
      </c>
      <c r="E10" s="128" t="s">
        <v>43</v>
      </c>
    </row>
    <row r="11" spans="1:5" ht="15.75">
      <c r="A11" s="9" t="s">
        <v>12</v>
      </c>
      <c r="B11" s="9" t="s">
        <v>44</v>
      </c>
      <c r="C11" s="10"/>
      <c r="D11" s="11"/>
      <c r="E11" s="11"/>
    </row>
    <row r="12" spans="1:5" ht="15.75">
      <c r="A12" s="9"/>
      <c r="B12" s="9" t="s">
        <v>14</v>
      </c>
      <c r="C12" s="10"/>
      <c r="D12" s="11"/>
      <c r="E12" s="11"/>
    </row>
    <row r="13" spans="1:5" ht="15.75">
      <c r="A13" s="9"/>
      <c r="B13" s="9"/>
      <c r="C13" s="10"/>
      <c r="D13" s="11"/>
      <c r="E13" s="11"/>
    </row>
    <row r="14" spans="1:5" ht="15.75">
      <c r="A14" s="9" t="s">
        <v>15</v>
      </c>
      <c r="B14" s="9"/>
      <c r="C14" s="10"/>
      <c r="D14" s="11"/>
      <c r="E14" s="11"/>
    </row>
    <row r="15" spans="1:5" ht="15.75">
      <c r="A15" s="9" t="s">
        <v>16</v>
      </c>
      <c r="B15" s="9"/>
      <c r="C15" s="10"/>
      <c r="D15" s="11"/>
      <c r="E15" s="11"/>
    </row>
    <row r="16" spans="1:5" ht="15.75">
      <c r="A16" s="9"/>
      <c r="B16" s="9"/>
      <c r="C16" s="10"/>
      <c r="D16" s="11"/>
      <c r="E16" s="11"/>
    </row>
    <row r="17" spans="1:5" ht="68.25" customHeight="1">
      <c r="A17" s="139" t="s">
        <v>45</v>
      </c>
      <c r="B17" s="139"/>
      <c r="C17" s="139"/>
      <c r="D17" s="139"/>
      <c r="E17" s="139"/>
    </row>
    <row r="18" spans="1:5" ht="15.75">
      <c r="A18" s="12"/>
      <c r="B18" s="12"/>
      <c r="C18" s="13"/>
      <c r="D18" s="11"/>
      <c r="E18" s="11"/>
    </row>
    <row r="19" spans="1:5" s="1" customFormat="1" ht="15" customHeight="1">
      <c r="A19" s="14" t="s">
        <v>18</v>
      </c>
      <c r="B19" s="14" t="s">
        <v>19</v>
      </c>
      <c r="C19" s="14" t="s">
        <v>20</v>
      </c>
      <c r="D19" s="15" t="s">
        <v>21</v>
      </c>
      <c r="E19" s="16" t="s">
        <v>22</v>
      </c>
    </row>
    <row r="20" spans="1:5" s="2" customFormat="1" ht="35.25" customHeight="1">
      <c r="A20" s="17">
        <v>1</v>
      </c>
      <c r="B20" s="18" t="s">
        <v>46</v>
      </c>
      <c r="C20" s="19" t="s">
        <v>47</v>
      </c>
      <c r="D20" s="20"/>
      <c r="E20" s="21">
        <v>28825000</v>
      </c>
    </row>
    <row r="21" spans="1:5" s="3" customFormat="1" ht="17.25" customHeight="1">
      <c r="A21" s="22"/>
      <c r="B21" s="23" t="s">
        <v>48</v>
      </c>
      <c r="C21" s="24"/>
      <c r="D21" s="25" t="e">
        <f>#REF!*#REF!</f>
        <v>#REF!</v>
      </c>
      <c r="E21" s="26">
        <v>450000</v>
      </c>
    </row>
    <row r="22" spans="1:5" s="3" customFormat="1" ht="17.25" customHeight="1">
      <c r="A22" s="22"/>
      <c r="B22" s="23" t="s">
        <v>49</v>
      </c>
      <c r="C22" s="27"/>
      <c r="D22" s="28" t="e">
        <f>#REF!*#REF!</f>
        <v>#REF!</v>
      </c>
      <c r="E22" s="26">
        <v>750000</v>
      </c>
    </row>
    <row r="23" spans="1:5" s="3" customFormat="1" ht="30" customHeight="1">
      <c r="A23" s="22"/>
      <c r="B23" s="23" t="s">
        <v>50</v>
      </c>
      <c r="C23" s="27"/>
      <c r="D23" s="28"/>
      <c r="E23" s="26">
        <v>1500000</v>
      </c>
    </row>
    <row r="24" spans="1:5" s="3" customFormat="1" ht="30" customHeight="1">
      <c r="A24" s="22"/>
      <c r="B24" s="23" t="s">
        <v>51</v>
      </c>
      <c r="C24" s="27"/>
      <c r="D24" s="28"/>
      <c r="E24" s="26">
        <v>4250000</v>
      </c>
    </row>
    <row r="25" spans="1:5" s="3" customFormat="1" ht="17.25" customHeight="1">
      <c r="A25" s="22"/>
      <c r="B25" s="23" t="s">
        <v>52</v>
      </c>
      <c r="C25" s="27"/>
      <c r="D25" s="28"/>
      <c r="E25" s="26">
        <v>75000</v>
      </c>
    </row>
    <row r="26" spans="1:5" s="3" customFormat="1" ht="17.25" customHeight="1">
      <c r="A26" s="22"/>
      <c r="B26" s="23" t="s">
        <v>53</v>
      </c>
      <c r="C26" s="27"/>
      <c r="D26" s="28"/>
      <c r="E26" s="26">
        <v>900000</v>
      </c>
    </row>
    <row r="27" spans="1:5" s="3" customFormat="1" ht="17.25" customHeight="1">
      <c r="A27" s="22"/>
      <c r="B27" s="23" t="s">
        <v>54</v>
      </c>
      <c r="C27" s="27"/>
      <c r="D27" s="28"/>
      <c r="E27" s="26">
        <v>3200000</v>
      </c>
    </row>
    <row r="28" spans="1:5" s="3" customFormat="1" ht="17.25" customHeight="1">
      <c r="A28" s="22"/>
      <c r="B28" s="23" t="s">
        <v>55</v>
      </c>
      <c r="C28" s="27"/>
      <c r="D28" s="28"/>
      <c r="E28" s="26">
        <v>600000</v>
      </c>
    </row>
    <row r="29" spans="1:5" s="3" customFormat="1" ht="17.25" customHeight="1">
      <c r="A29" s="22"/>
      <c r="B29" s="23" t="s">
        <v>56</v>
      </c>
      <c r="C29" s="27"/>
      <c r="D29" s="28"/>
      <c r="E29" s="26">
        <v>900000</v>
      </c>
    </row>
    <row r="30" spans="1:5" s="3" customFormat="1" ht="17.25" customHeight="1">
      <c r="A30" s="22"/>
      <c r="B30" s="23" t="s">
        <v>57</v>
      </c>
      <c r="C30" s="27"/>
      <c r="D30" s="28"/>
      <c r="E30" s="26">
        <v>1000000</v>
      </c>
    </row>
    <row r="31" spans="1:5" s="3" customFormat="1" ht="17.25" customHeight="1">
      <c r="A31" s="22"/>
      <c r="B31" s="23" t="s">
        <v>58</v>
      </c>
      <c r="C31" s="27"/>
      <c r="D31" s="28"/>
      <c r="E31" s="26">
        <v>7500000</v>
      </c>
    </row>
    <row r="32" spans="1:5" s="3" customFormat="1" ht="17.25" customHeight="1">
      <c r="A32" s="22"/>
      <c r="B32" s="23" t="s">
        <v>59</v>
      </c>
      <c r="C32" s="27"/>
      <c r="D32" s="28"/>
      <c r="E32" s="26">
        <v>4500000</v>
      </c>
    </row>
    <row r="33" spans="1:6" s="3" customFormat="1" ht="17.25" customHeight="1">
      <c r="A33" s="22"/>
      <c r="B33" s="23" t="s">
        <v>60</v>
      </c>
      <c r="C33" s="27"/>
      <c r="D33" s="28"/>
      <c r="E33" s="26">
        <v>3200000</v>
      </c>
    </row>
    <row r="34" spans="1:6" s="2" customFormat="1" ht="31.5" customHeight="1"/>
    <row r="35" spans="1:6" s="3" customFormat="1"/>
    <row r="36" spans="1:6" s="3" customFormat="1" ht="18.75" customHeight="1"/>
    <row r="37" spans="1:6" s="3" customFormat="1" ht="18.75" customHeight="1"/>
    <row r="38" spans="1:6">
      <c r="C38" s="4"/>
      <c r="D38" s="4"/>
      <c r="E38" s="4"/>
    </row>
    <row r="39" spans="1:6" ht="42.75">
      <c r="A39" s="17">
        <v>2</v>
      </c>
      <c r="B39" s="18" t="s">
        <v>61</v>
      </c>
      <c r="C39" s="19" t="s">
        <v>62</v>
      </c>
      <c r="D39" s="29"/>
      <c r="E39" s="30">
        <v>1680000</v>
      </c>
    </row>
    <row r="40" spans="1:6" ht="15.75">
      <c r="A40" s="22"/>
      <c r="B40" s="31" t="s">
        <v>63</v>
      </c>
      <c r="C40" s="32"/>
      <c r="D40" s="28" t="e">
        <f>#REF!*#REF!</f>
        <v>#REF!</v>
      </c>
      <c r="E40" s="33">
        <v>225000</v>
      </c>
    </row>
    <row r="41" spans="1:6" ht="15.75">
      <c r="A41" s="22"/>
      <c r="B41" s="34" t="s">
        <v>64</v>
      </c>
      <c r="C41" s="32"/>
      <c r="D41" s="28" t="e">
        <f>#REF!*#REF!</f>
        <v>#REF!</v>
      </c>
      <c r="E41" s="33">
        <v>1260000</v>
      </c>
    </row>
    <row r="42" spans="1:6" ht="15.75">
      <c r="A42" s="22"/>
      <c r="B42" s="34" t="s">
        <v>27</v>
      </c>
      <c r="C42" s="32"/>
      <c r="D42" s="28"/>
      <c r="E42" s="33">
        <v>195000</v>
      </c>
      <c r="F42" s="6"/>
    </row>
    <row r="43" spans="1:6" ht="15.75">
      <c r="A43" s="35"/>
      <c r="B43" s="36" t="s">
        <v>21</v>
      </c>
      <c r="C43" s="37"/>
      <c r="D43" s="38"/>
      <c r="E43" s="39">
        <f>E39+E20</f>
        <v>30505000</v>
      </c>
      <c r="F43" s="6"/>
    </row>
    <row r="44" spans="1:6" ht="15.75">
      <c r="A44" s="12"/>
      <c r="B44" s="12"/>
      <c r="C44" s="13"/>
      <c r="D44" s="11"/>
      <c r="E44" s="11"/>
      <c r="F44" s="6"/>
    </row>
    <row r="45" spans="1:6" ht="15.75">
      <c r="A45" s="9" t="s">
        <v>29</v>
      </c>
      <c r="B45" s="12"/>
      <c r="C45" s="13"/>
      <c r="D45" s="11"/>
      <c r="E45" s="11"/>
      <c r="F45" s="6"/>
    </row>
    <row r="46" spans="1:6" ht="15.75">
      <c r="A46" s="9"/>
      <c r="B46" s="12"/>
      <c r="C46" s="13"/>
      <c r="D46" s="11"/>
      <c r="E46" s="11"/>
      <c r="F46" s="6"/>
    </row>
    <row r="47" spans="1:6" ht="15.75">
      <c r="A47" s="9"/>
      <c r="B47" s="12"/>
      <c r="C47" s="40" t="s">
        <v>65</v>
      </c>
      <c r="D47" s="12"/>
      <c r="E47" s="11"/>
      <c r="F47" s="41"/>
    </row>
    <row r="48" spans="1:6" ht="15.75">
      <c r="A48" s="12"/>
      <c r="B48" s="12"/>
      <c r="C48" s="40"/>
      <c r="D48" s="12"/>
      <c r="E48" s="11"/>
    </row>
    <row r="49" spans="1:5" ht="15.75">
      <c r="A49" s="12"/>
      <c r="B49" s="12"/>
      <c r="C49" s="40"/>
      <c r="D49" s="12"/>
      <c r="E49" s="11"/>
    </row>
    <row r="50" spans="1:5" ht="15.75">
      <c r="A50" s="12"/>
      <c r="B50" s="12"/>
      <c r="C50" s="12"/>
      <c r="D50" s="12"/>
      <c r="E50" s="11"/>
    </row>
    <row r="51" spans="1:5" ht="15.75">
      <c r="A51" s="12"/>
      <c r="B51" s="12"/>
      <c r="C51" s="42" t="s">
        <v>66</v>
      </c>
      <c r="D51" s="12"/>
      <c r="E51" s="11"/>
    </row>
    <row r="52" spans="1:5" ht="15.75">
      <c r="A52" s="12"/>
      <c r="B52" s="12"/>
      <c r="C52" s="43" t="s">
        <v>67</v>
      </c>
      <c r="D52" s="43"/>
      <c r="E52" s="43"/>
    </row>
  </sheetData>
  <mergeCells count="9">
    <mergeCell ref="A6:E6"/>
    <mergeCell ref="A7:E7"/>
    <mergeCell ref="A8:E8"/>
    <mergeCell ref="A17:E17"/>
    <mergeCell ref="A1:E1"/>
    <mergeCell ref="A2:E2"/>
    <mergeCell ref="A3:E3"/>
    <mergeCell ref="A4:E4"/>
    <mergeCell ref="A5:E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view="pageLayout" topLeftCell="A4" zoomScale="145" zoomScaleNormal="100" zoomScalePageLayoutView="145" workbookViewId="0">
      <selection activeCell="B10" sqref="B10"/>
    </sheetView>
  </sheetViews>
  <sheetFormatPr defaultColWidth="9" defaultRowHeight="15"/>
  <cols>
    <col min="1" max="1" width="7.5703125" style="4" customWidth="1"/>
    <col min="2" max="2" width="44.140625" style="4" customWidth="1"/>
    <col min="3" max="3" width="18.5703125" style="5" customWidth="1"/>
    <col min="4" max="4" width="9.85546875" style="6" hidden="1" customWidth="1"/>
    <col min="5" max="5" width="14.7109375" style="6" customWidth="1"/>
    <col min="6" max="234" width="9.140625" style="4"/>
    <col min="235" max="235" width="5.7109375" style="4" customWidth="1"/>
    <col min="236" max="236" width="7.5703125" style="4" customWidth="1"/>
    <col min="237" max="237" width="39" style="4" customWidth="1"/>
    <col min="238" max="238" width="20.5703125" style="4" customWidth="1"/>
    <col min="239" max="239" width="5.7109375" style="4" customWidth="1"/>
    <col min="240" max="240" width="8.28515625" style="4" customWidth="1"/>
    <col min="241" max="241" width="9.140625" style="4" customWidth="1"/>
    <col min="242" max="242" width="10.7109375" style="4" customWidth="1"/>
    <col min="243" max="243" width="13.5703125" style="4" customWidth="1"/>
    <col min="244" max="490" width="9.140625" style="4"/>
    <col min="491" max="491" width="5.7109375" style="4" customWidth="1"/>
    <col min="492" max="492" width="7.5703125" style="4" customWidth="1"/>
    <col min="493" max="493" width="39" style="4" customWidth="1"/>
    <col min="494" max="494" width="20.5703125" style="4" customWidth="1"/>
    <col min="495" max="495" width="5.7109375" style="4" customWidth="1"/>
    <col min="496" max="496" width="8.28515625" style="4" customWidth="1"/>
    <col min="497" max="497" width="9.140625" style="4" customWidth="1"/>
    <col min="498" max="498" width="10.7109375" style="4" customWidth="1"/>
    <col min="499" max="499" width="13.5703125" style="4" customWidth="1"/>
    <col min="500" max="746" width="9.140625" style="4"/>
    <col min="747" max="747" width="5.7109375" style="4" customWidth="1"/>
    <col min="748" max="748" width="7.5703125" style="4" customWidth="1"/>
    <col min="749" max="749" width="39" style="4" customWidth="1"/>
    <col min="750" max="750" width="20.5703125" style="4" customWidth="1"/>
    <col min="751" max="751" width="5.7109375" style="4" customWidth="1"/>
    <col min="752" max="752" width="8.28515625" style="4" customWidth="1"/>
    <col min="753" max="753" width="9.140625" style="4" customWidth="1"/>
    <col min="754" max="754" width="10.7109375" style="4" customWidth="1"/>
    <col min="755" max="755" width="13.5703125" style="4" customWidth="1"/>
    <col min="756" max="1002" width="9.140625" style="4"/>
    <col min="1003" max="1003" width="5.7109375" style="4" customWidth="1"/>
    <col min="1004" max="1004" width="7.5703125" style="4" customWidth="1"/>
    <col min="1005" max="1005" width="39" style="4" customWidth="1"/>
    <col min="1006" max="1006" width="20.5703125" style="4" customWidth="1"/>
    <col min="1007" max="1007" width="5.7109375" style="4" customWidth="1"/>
    <col min="1008" max="1008" width="8.28515625" style="4" customWidth="1"/>
    <col min="1009" max="1009" width="9.140625" style="4" customWidth="1"/>
    <col min="1010" max="1010" width="10.7109375" style="4" customWidth="1"/>
    <col min="1011" max="1011" width="13.5703125" style="4" customWidth="1"/>
    <col min="1012" max="1258" width="9.140625" style="4"/>
    <col min="1259" max="1259" width="5.7109375" style="4" customWidth="1"/>
    <col min="1260" max="1260" width="7.5703125" style="4" customWidth="1"/>
    <col min="1261" max="1261" width="39" style="4" customWidth="1"/>
    <col min="1262" max="1262" width="20.5703125" style="4" customWidth="1"/>
    <col min="1263" max="1263" width="5.7109375" style="4" customWidth="1"/>
    <col min="1264" max="1264" width="8.28515625" style="4" customWidth="1"/>
    <col min="1265" max="1265" width="9.140625" style="4" customWidth="1"/>
    <col min="1266" max="1266" width="10.7109375" style="4" customWidth="1"/>
    <col min="1267" max="1267" width="13.5703125" style="4" customWidth="1"/>
    <col min="1268" max="1514" width="9.140625" style="4"/>
    <col min="1515" max="1515" width="5.7109375" style="4" customWidth="1"/>
    <col min="1516" max="1516" width="7.5703125" style="4" customWidth="1"/>
    <col min="1517" max="1517" width="39" style="4" customWidth="1"/>
    <col min="1518" max="1518" width="20.5703125" style="4" customWidth="1"/>
    <col min="1519" max="1519" width="5.7109375" style="4" customWidth="1"/>
    <col min="1520" max="1520" width="8.28515625" style="4" customWidth="1"/>
    <col min="1521" max="1521" width="9.140625" style="4" customWidth="1"/>
    <col min="1522" max="1522" width="10.7109375" style="4" customWidth="1"/>
    <col min="1523" max="1523" width="13.5703125" style="4" customWidth="1"/>
    <col min="1524" max="1770" width="9.140625" style="4"/>
    <col min="1771" max="1771" width="5.7109375" style="4" customWidth="1"/>
    <col min="1772" max="1772" width="7.5703125" style="4" customWidth="1"/>
    <col min="1773" max="1773" width="39" style="4" customWidth="1"/>
    <col min="1774" max="1774" width="20.5703125" style="4" customWidth="1"/>
    <col min="1775" max="1775" width="5.7109375" style="4" customWidth="1"/>
    <col min="1776" max="1776" width="8.28515625" style="4" customWidth="1"/>
    <col min="1777" max="1777" width="9.140625" style="4" customWidth="1"/>
    <col min="1778" max="1778" width="10.7109375" style="4" customWidth="1"/>
    <col min="1779" max="1779" width="13.5703125" style="4" customWidth="1"/>
    <col min="1780" max="2026" width="9.140625" style="4"/>
    <col min="2027" max="2027" width="5.7109375" style="4" customWidth="1"/>
    <col min="2028" max="2028" width="7.5703125" style="4" customWidth="1"/>
    <col min="2029" max="2029" width="39" style="4" customWidth="1"/>
    <col min="2030" max="2030" width="20.5703125" style="4" customWidth="1"/>
    <col min="2031" max="2031" width="5.7109375" style="4" customWidth="1"/>
    <col min="2032" max="2032" width="8.28515625" style="4" customWidth="1"/>
    <col min="2033" max="2033" width="9.140625" style="4" customWidth="1"/>
    <col min="2034" max="2034" width="10.7109375" style="4" customWidth="1"/>
    <col min="2035" max="2035" width="13.5703125" style="4" customWidth="1"/>
    <col min="2036" max="2282" width="9.140625" style="4"/>
    <col min="2283" max="2283" width="5.7109375" style="4" customWidth="1"/>
    <col min="2284" max="2284" width="7.5703125" style="4" customWidth="1"/>
    <col min="2285" max="2285" width="39" style="4" customWidth="1"/>
    <col min="2286" max="2286" width="20.5703125" style="4" customWidth="1"/>
    <col min="2287" max="2287" width="5.7109375" style="4" customWidth="1"/>
    <col min="2288" max="2288" width="8.28515625" style="4" customWidth="1"/>
    <col min="2289" max="2289" width="9.140625" style="4" customWidth="1"/>
    <col min="2290" max="2290" width="10.7109375" style="4" customWidth="1"/>
    <col min="2291" max="2291" width="13.5703125" style="4" customWidth="1"/>
    <col min="2292" max="2538" width="9.140625" style="4"/>
    <col min="2539" max="2539" width="5.7109375" style="4" customWidth="1"/>
    <col min="2540" max="2540" width="7.5703125" style="4" customWidth="1"/>
    <col min="2541" max="2541" width="39" style="4" customWidth="1"/>
    <col min="2542" max="2542" width="20.5703125" style="4" customWidth="1"/>
    <col min="2543" max="2543" width="5.7109375" style="4" customWidth="1"/>
    <col min="2544" max="2544" width="8.28515625" style="4" customWidth="1"/>
    <col min="2545" max="2545" width="9.140625" style="4" customWidth="1"/>
    <col min="2546" max="2546" width="10.7109375" style="4" customWidth="1"/>
    <col min="2547" max="2547" width="13.5703125" style="4" customWidth="1"/>
    <col min="2548" max="2794" width="9.140625" style="4"/>
    <col min="2795" max="2795" width="5.7109375" style="4" customWidth="1"/>
    <col min="2796" max="2796" width="7.5703125" style="4" customWidth="1"/>
    <col min="2797" max="2797" width="39" style="4" customWidth="1"/>
    <col min="2798" max="2798" width="20.5703125" style="4" customWidth="1"/>
    <col min="2799" max="2799" width="5.7109375" style="4" customWidth="1"/>
    <col min="2800" max="2800" width="8.28515625" style="4" customWidth="1"/>
    <col min="2801" max="2801" width="9.140625" style="4" customWidth="1"/>
    <col min="2802" max="2802" width="10.7109375" style="4" customWidth="1"/>
    <col min="2803" max="2803" width="13.5703125" style="4" customWidth="1"/>
    <col min="2804" max="3050" width="9.140625" style="4"/>
    <col min="3051" max="3051" width="5.7109375" style="4" customWidth="1"/>
    <col min="3052" max="3052" width="7.5703125" style="4" customWidth="1"/>
    <col min="3053" max="3053" width="39" style="4" customWidth="1"/>
    <col min="3054" max="3054" width="20.5703125" style="4" customWidth="1"/>
    <col min="3055" max="3055" width="5.7109375" style="4" customWidth="1"/>
    <col min="3056" max="3056" width="8.28515625" style="4" customWidth="1"/>
    <col min="3057" max="3057" width="9.140625" style="4" customWidth="1"/>
    <col min="3058" max="3058" width="10.7109375" style="4" customWidth="1"/>
    <col min="3059" max="3059" width="13.5703125" style="4" customWidth="1"/>
    <col min="3060" max="3306" width="9.140625" style="4"/>
    <col min="3307" max="3307" width="5.7109375" style="4" customWidth="1"/>
    <col min="3308" max="3308" width="7.5703125" style="4" customWidth="1"/>
    <col min="3309" max="3309" width="39" style="4" customWidth="1"/>
    <col min="3310" max="3310" width="20.5703125" style="4" customWidth="1"/>
    <col min="3311" max="3311" width="5.7109375" style="4" customWidth="1"/>
    <col min="3312" max="3312" width="8.28515625" style="4" customWidth="1"/>
    <col min="3313" max="3313" width="9.140625" style="4" customWidth="1"/>
    <col min="3314" max="3314" width="10.7109375" style="4" customWidth="1"/>
    <col min="3315" max="3315" width="13.5703125" style="4" customWidth="1"/>
    <col min="3316" max="3562" width="9.140625" style="4"/>
    <col min="3563" max="3563" width="5.7109375" style="4" customWidth="1"/>
    <col min="3564" max="3564" width="7.5703125" style="4" customWidth="1"/>
    <col min="3565" max="3565" width="39" style="4" customWidth="1"/>
    <col min="3566" max="3566" width="20.5703125" style="4" customWidth="1"/>
    <col min="3567" max="3567" width="5.7109375" style="4" customWidth="1"/>
    <col min="3568" max="3568" width="8.28515625" style="4" customWidth="1"/>
    <col min="3569" max="3569" width="9.140625" style="4" customWidth="1"/>
    <col min="3570" max="3570" width="10.7109375" style="4" customWidth="1"/>
    <col min="3571" max="3571" width="13.5703125" style="4" customWidth="1"/>
    <col min="3572" max="3818" width="9.140625" style="4"/>
    <col min="3819" max="3819" width="5.7109375" style="4" customWidth="1"/>
    <col min="3820" max="3820" width="7.5703125" style="4" customWidth="1"/>
    <col min="3821" max="3821" width="39" style="4" customWidth="1"/>
    <col min="3822" max="3822" width="20.5703125" style="4" customWidth="1"/>
    <col min="3823" max="3823" width="5.7109375" style="4" customWidth="1"/>
    <col min="3824" max="3824" width="8.28515625" style="4" customWidth="1"/>
    <col min="3825" max="3825" width="9.140625" style="4" customWidth="1"/>
    <col min="3826" max="3826" width="10.7109375" style="4" customWidth="1"/>
    <col min="3827" max="3827" width="13.5703125" style="4" customWidth="1"/>
    <col min="3828" max="4074" width="9.140625" style="4"/>
    <col min="4075" max="4075" width="5.7109375" style="4" customWidth="1"/>
    <col min="4076" max="4076" width="7.5703125" style="4" customWidth="1"/>
    <col min="4077" max="4077" width="39" style="4" customWidth="1"/>
    <col min="4078" max="4078" width="20.5703125" style="4" customWidth="1"/>
    <col min="4079" max="4079" width="5.7109375" style="4" customWidth="1"/>
    <col min="4080" max="4080" width="8.28515625" style="4" customWidth="1"/>
    <col min="4081" max="4081" width="9.140625" style="4" customWidth="1"/>
    <col min="4082" max="4082" width="10.7109375" style="4" customWidth="1"/>
    <col min="4083" max="4083" width="13.5703125" style="4" customWidth="1"/>
    <col min="4084" max="4330" width="9.140625" style="4"/>
    <col min="4331" max="4331" width="5.7109375" style="4" customWidth="1"/>
    <col min="4332" max="4332" width="7.5703125" style="4" customWidth="1"/>
    <col min="4333" max="4333" width="39" style="4" customWidth="1"/>
    <col min="4334" max="4334" width="20.5703125" style="4" customWidth="1"/>
    <col min="4335" max="4335" width="5.7109375" style="4" customWidth="1"/>
    <col min="4336" max="4336" width="8.28515625" style="4" customWidth="1"/>
    <col min="4337" max="4337" width="9.140625" style="4" customWidth="1"/>
    <col min="4338" max="4338" width="10.7109375" style="4" customWidth="1"/>
    <col min="4339" max="4339" width="13.5703125" style="4" customWidth="1"/>
    <col min="4340" max="4586" width="9.140625" style="4"/>
    <col min="4587" max="4587" width="5.7109375" style="4" customWidth="1"/>
    <col min="4588" max="4588" width="7.5703125" style="4" customWidth="1"/>
    <col min="4589" max="4589" width="39" style="4" customWidth="1"/>
    <col min="4590" max="4590" width="20.5703125" style="4" customWidth="1"/>
    <col min="4591" max="4591" width="5.7109375" style="4" customWidth="1"/>
    <col min="4592" max="4592" width="8.28515625" style="4" customWidth="1"/>
    <col min="4593" max="4593" width="9.140625" style="4" customWidth="1"/>
    <col min="4594" max="4594" width="10.7109375" style="4" customWidth="1"/>
    <col min="4595" max="4595" width="13.5703125" style="4" customWidth="1"/>
    <col min="4596" max="4842" width="9.140625" style="4"/>
    <col min="4843" max="4843" width="5.7109375" style="4" customWidth="1"/>
    <col min="4844" max="4844" width="7.5703125" style="4" customWidth="1"/>
    <col min="4845" max="4845" width="39" style="4" customWidth="1"/>
    <col min="4846" max="4846" width="20.5703125" style="4" customWidth="1"/>
    <col min="4847" max="4847" width="5.7109375" style="4" customWidth="1"/>
    <col min="4848" max="4848" width="8.28515625" style="4" customWidth="1"/>
    <col min="4849" max="4849" width="9.140625" style="4" customWidth="1"/>
    <col min="4850" max="4850" width="10.7109375" style="4" customWidth="1"/>
    <col min="4851" max="4851" width="13.5703125" style="4" customWidth="1"/>
    <col min="4852" max="5098" width="9.140625" style="4"/>
    <col min="5099" max="5099" width="5.7109375" style="4" customWidth="1"/>
    <col min="5100" max="5100" width="7.5703125" style="4" customWidth="1"/>
    <col min="5101" max="5101" width="39" style="4" customWidth="1"/>
    <col min="5102" max="5102" width="20.5703125" style="4" customWidth="1"/>
    <col min="5103" max="5103" width="5.7109375" style="4" customWidth="1"/>
    <col min="5104" max="5104" width="8.28515625" style="4" customWidth="1"/>
    <col min="5105" max="5105" width="9.140625" style="4" customWidth="1"/>
    <col min="5106" max="5106" width="10.7109375" style="4" customWidth="1"/>
    <col min="5107" max="5107" width="13.5703125" style="4" customWidth="1"/>
    <col min="5108" max="5354" width="9.140625" style="4"/>
    <col min="5355" max="5355" width="5.7109375" style="4" customWidth="1"/>
    <col min="5356" max="5356" width="7.5703125" style="4" customWidth="1"/>
    <col min="5357" max="5357" width="39" style="4" customWidth="1"/>
    <col min="5358" max="5358" width="20.5703125" style="4" customWidth="1"/>
    <col min="5359" max="5359" width="5.7109375" style="4" customWidth="1"/>
    <col min="5360" max="5360" width="8.28515625" style="4" customWidth="1"/>
    <col min="5361" max="5361" width="9.140625" style="4" customWidth="1"/>
    <col min="5362" max="5362" width="10.7109375" style="4" customWidth="1"/>
    <col min="5363" max="5363" width="13.5703125" style="4" customWidth="1"/>
    <col min="5364" max="5610" width="9.140625" style="4"/>
    <col min="5611" max="5611" width="5.7109375" style="4" customWidth="1"/>
    <col min="5612" max="5612" width="7.5703125" style="4" customWidth="1"/>
    <col min="5613" max="5613" width="39" style="4" customWidth="1"/>
    <col min="5614" max="5614" width="20.5703125" style="4" customWidth="1"/>
    <col min="5615" max="5615" width="5.7109375" style="4" customWidth="1"/>
    <col min="5616" max="5616" width="8.28515625" style="4" customWidth="1"/>
    <col min="5617" max="5617" width="9.140625" style="4" customWidth="1"/>
    <col min="5618" max="5618" width="10.7109375" style="4" customWidth="1"/>
    <col min="5619" max="5619" width="13.5703125" style="4" customWidth="1"/>
    <col min="5620" max="5866" width="9.140625" style="4"/>
    <col min="5867" max="5867" width="5.7109375" style="4" customWidth="1"/>
    <col min="5868" max="5868" width="7.5703125" style="4" customWidth="1"/>
    <col min="5869" max="5869" width="39" style="4" customWidth="1"/>
    <col min="5870" max="5870" width="20.5703125" style="4" customWidth="1"/>
    <col min="5871" max="5871" width="5.7109375" style="4" customWidth="1"/>
    <col min="5872" max="5872" width="8.28515625" style="4" customWidth="1"/>
    <col min="5873" max="5873" width="9.140625" style="4" customWidth="1"/>
    <col min="5874" max="5874" width="10.7109375" style="4" customWidth="1"/>
    <col min="5875" max="5875" width="13.5703125" style="4" customWidth="1"/>
    <col min="5876" max="6122" width="9.140625" style="4"/>
    <col min="6123" max="6123" width="5.7109375" style="4" customWidth="1"/>
    <col min="6124" max="6124" width="7.5703125" style="4" customWidth="1"/>
    <col min="6125" max="6125" width="39" style="4" customWidth="1"/>
    <col min="6126" max="6126" width="20.5703125" style="4" customWidth="1"/>
    <col min="6127" max="6127" width="5.7109375" style="4" customWidth="1"/>
    <col min="6128" max="6128" width="8.28515625" style="4" customWidth="1"/>
    <col min="6129" max="6129" width="9.140625" style="4" customWidth="1"/>
    <col min="6130" max="6130" width="10.7109375" style="4" customWidth="1"/>
    <col min="6131" max="6131" width="13.5703125" style="4" customWidth="1"/>
    <col min="6132" max="6378" width="9.140625" style="4"/>
    <col min="6379" max="6379" width="5.7109375" style="4" customWidth="1"/>
    <col min="6380" max="6380" width="7.5703125" style="4" customWidth="1"/>
    <col min="6381" max="6381" width="39" style="4" customWidth="1"/>
    <col min="6382" max="6382" width="20.5703125" style="4" customWidth="1"/>
    <col min="6383" max="6383" width="5.7109375" style="4" customWidth="1"/>
    <col min="6384" max="6384" width="8.28515625" style="4" customWidth="1"/>
    <col min="6385" max="6385" width="9.140625" style="4" customWidth="1"/>
    <col min="6386" max="6386" width="10.7109375" style="4" customWidth="1"/>
    <col min="6387" max="6387" width="13.5703125" style="4" customWidth="1"/>
    <col min="6388" max="6634" width="9.140625" style="4"/>
    <col min="6635" max="6635" width="5.7109375" style="4" customWidth="1"/>
    <col min="6636" max="6636" width="7.5703125" style="4" customWidth="1"/>
    <col min="6637" max="6637" width="39" style="4" customWidth="1"/>
    <col min="6638" max="6638" width="20.5703125" style="4" customWidth="1"/>
    <col min="6639" max="6639" width="5.7109375" style="4" customWidth="1"/>
    <col min="6640" max="6640" width="8.28515625" style="4" customWidth="1"/>
    <col min="6641" max="6641" width="9.140625" style="4" customWidth="1"/>
    <col min="6642" max="6642" width="10.7109375" style="4" customWidth="1"/>
    <col min="6643" max="6643" width="13.5703125" style="4" customWidth="1"/>
    <col min="6644" max="6890" width="9.140625" style="4"/>
    <col min="6891" max="6891" width="5.7109375" style="4" customWidth="1"/>
    <col min="6892" max="6892" width="7.5703125" style="4" customWidth="1"/>
    <col min="6893" max="6893" width="39" style="4" customWidth="1"/>
    <col min="6894" max="6894" width="20.5703125" style="4" customWidth="1"/>
    <col min="6895" max="6895" width="5.7109375" style="4" customWidth="1"/>
    <col min="6896" max="6896" width="8.28515625" style="4" customWidth="1"/>
    <col min="6897" max="6897" width="9.140625" style="4" customWidth="1"/>
    <col min="6898" max="6898" width="10.7109375" style="4" customWidth="1"/>
    <col min="6899" max="6899" width="13.5703125" style="4" customWidth="1"/>
    <col min="6900" max="7146" width="9.140625" style="4"/>
    <col min="7147" max="7147" width="5.7109375" style="4" customWidth="1"/>
    <col min="7148" max="7148" width="7.5703125" style="4" customWidth="1"/>
    <col min="7149" max="7149" width="39" style="4" customWidth="1"/>
    <col min="7150" max="7150" width="20.5703125" style="4" customWidth="1"/>
    <col min="7151" max="7151" width="5.7109375" style="4" customWidth="1"/>
    <col min="7152" max="7152" width="8.28515625" style="4" customWidth="1"/>
    <col min="7153" max="7153" width="9.140625" style="4" customWidth="1"/>
    <col min="7154" max="7154" width="10.7109375" style="4" customWidth="1"/>
    <col min="7155" max="7155" width="13.5703125" style="4" customWidth="1"/>
    <col min="7156" max="7402" width="9.140625" style="4"/>
    <col min="7403" max="7403" width="5.7109375" style="4" customWidth="1"/>
    <col min="7404" max="7404" width="7.5703125" style="4" customWidth="1"/>
    <col min="7405" max="7405" width="39" style="4" customWidth="1"/>
    <col min="7406" max="7406" width="20.5703125" style="4" customWidth="1"/>
    <col min="7407" max="7407" width="5.7109375" style="4" customWidth="1"/>
    <col min="7408" max="7408" width="8.28515625" style="4" customWidth="1"/>
    <col min="7409" max="7409" width="9.140625" style="4" customWidth="1"/>
    <col min="7410" max="7410" width="10.7109375" style="4" customWidth="1"/>
    <col min="7411" max="7411" width="13.5703125" style="4" customWidth="1"/>
    <col min="7412" max="7658" width="9.140625" style="4"/>
    <col min="7659" max="7659" width="5.7109375" style="4" customWidth="1"/>
    <col min="7660" max="7660" width="7.5703125" style="4" customWidth="1"/>
    <col min="7661" max="7661" width="39" style="4" customWidth="1"/>
    <col min="7662" max="7662" width="20.5703125" style="4" customWidth="1"/>
    <col min="7663" max="7663" width="5.7109375" style="4" customWidth="1"/>
    <col min="7664" max="7664" width="8.28515625" style="4" customWidth="1"/>
    <col min="7665" max="7665" width="9.140625" style="4" customWidth="1"/>
    <col min="7666" max="7666" width="10.7109375" style="4" customWidth="1"/>
    <col min="7667" max="7667" width="13.5703125" style="4" customWidth="1"/>
    <col min="7668" max="7914" width="9.140625" style="4"/>
    <col min="7915" max="7915" width="5.7109375" style="4" customWidth="1"/>
    <col min="7916" max="7916" width="7.5703125" style="4" customWidth="1"/>
    <col min="7917" max="7917" width="39" style="4" customWidth="1"/>
    <col min="7918" max="7918" width="20.5703125" style="4" customWidth="1"/>
    <col min="7919" max="7919" width="5.7109375" style="4" customWidth="1"/>
    <col min="7920" max="7920" width="8.28515625" style="4" customWidth="1"/>
    <col min="7921" max="7921" width="9.140625" style="4" customWidth="1"/>
    <col min="7922" max="7922" width="10.7109375" style="4" customWidth="1"/>
    <col min="7923" max="7923" width="13.5703125" style="4" customWidth="1"/>
    <col min="7924" max="8170" width="9.140625" style="4"/>
    <col min="8171" max="8171" width="5.7109375" style="4" customWidth="1"/>
    <col min="8172" max="8172" width="7.5703125" style="4" customWidth="1"/>
    <col min="8173" max="8173" width="39" style="4" customWidth="1"/>
    <col min="8174" max="8174" width="20.5703125" style="4" customWidth="1"/>
    <col min="8175" max="8175" width="5.7109375" style="4" customWidth="1"/>
    <col min="8176" max="8176" width="8.28515625" style="4" customWidth="1"/>
    <col min="8177" max="8177" width="9.140625" style="4" customWidth="1"/>
    <col min="8178" max="8178" width="10.7109375" style="4" customWidth="1"/>
    <col min="8179" max="8179" width="13.5703125" style="4" customWidth="1"/>
    <col min="8180" max="8426" width="9.140625" style="4"/>
    <col min="8427" max="8427" width="5.7109375" style="4" customWidth="1"/>
    <col min="8428" max="8428" width="7.5703125" style="4" customWidth="1"/>
    <col min="8429" max="8429" width="39" style="4" customWidth="1"/>
    <col min="8430" max="8430" width="20.5703125" style="4" customWidth="1"/>
    <col min="8431" max="8431" width="5.7109375" style="4" customWidth="1"/>
    <col min="8432" max="8432" width="8.28515625" style="4" customWidth="1"/>
    <col min="8433" max="8433" width="9.140625" style="4" customWidth="1"/>
    <col min="8434" max="8434" width="10.7109375" style="4" customWidth="1"/>
    <col min="8435" max="8435" width="13.5703125" style="4" customWidth="1"/>
    <col min="8436" max="8682" width="9.140625" style="4"/>
    <col min="8683" max="8683" width="5.7109375" style="4" customWidth="1"/>
    <col min="8684" max="8684" width="7.5703125" style="4" customWidth="1"/>
    <col min="8685" max="8685" width="39" style="4" customWidth="1"/>
    <col min="8686" max="8686" width="20.5703125" style="4" customWidth="1"/>
    <col min="8687" max="8687" width="5.7109375" style="4" customWidth="1"/>
    <col min="8688" max="8688" width="8.28515625" style="4" customWidth="1"/>
    <col min="8689" max="8689" width="9.140625" style="4" customWidth="1"/>
    <col min="8690" max="8690" width="10.7109375" style="4" customWidth="1"/>
    <col min="8691" max="8691" width="13.5703125" style="4" customWidth="1"/>
    <col min="8692" max="8938" width="9.140625" style="4"/>
    <col min="8939" max="8939" width="5.7109375" style="4" customWidth="1"/>
    <col min="8940" max="8940" width="7.5703125" style="4" customWidth="1"/>
    <col min="8941" max="8941" width="39" style="4" customWidth="1"/>
    <col min="8942" max="8942" width="20.5703125" style="4" customWidth="1"/>
    <col min="8943" max="8943" width="5.7109375" style="4" customWidth="1"/>
    <col min="8944" max="8944" width="8.28515625" style="4" customWidth="1"/>
    <col min="8945" max="8945" width="9.140625" style="4" customWidth="1"/>
    <col min="8946" max="8946" width="10.7109375" style="4" customWidth="1"/>
    <col min="8947" max="8947" width="13.5703125" style="4" customWidth="1"/>
    <col min="8948" max="9194" width="9.140625" style="4"/>
    <col min="9195" max="9195" width="5.7109375" style="4" customWidth="1"/>
    <col min="9196" max="9196" width="7.5703125" style="4" customWidth="1"/>
    <col min="9197" max="9197" width="39" style="4" customWidth="1"/>
    <col min="9198" max="9198" width="20.5703125" style="4" customWidth="1"/>
    <col min="9199" max="9199" width="5.7109375" style="4" customWidth="1"/>
    <col min="9200" max="9200" width="8.28515625" style="4" customWidth="1"/>
    <col min="9201" max="9201" width="9.140625" style="4" customWidth="1"/>
    <col min="9202" max="9202" width="10.7109375" style="4" customWidth="1"/>
    <col min="9203" max="9203" width="13.5703125" style="4" customWidth="1"/>
    <col min="9204" max="9450" width="9.140625" style="4"/>
    <col min="9451" max="9451" width="5.7109375" style="4" customWidth="1"/>
    <col min="9452" max="9452" width="7.5703125" style="4" customWidth="1"/>
    <col min="9453" max="9453" width="39" style="4" customWidth="1"/>
    <col min="9454" max="9454" width="20.5703125" style="4" customWidth="1"/>
    <col min="9455" max="9455" width="5.7109375" style="4" customWidth="1"/>
    <col min="9456" max="9456" width="8.28515625" style="4" customWidth="1"/>
    <col min="9457" max="9457" width="9.140625" style="4" customWidth="1"/>
    <col min="9458" max="9458" width="10.7109375" style="4" customWidth="1"/>
    <col min="9459" max="9459" width="13.5703125" style="4" customWidth="1"/>
    <col min="9460" max="9706" width="9.140625" style="4"/>
    <col min="9707" max="9707" width="5.7109375" style="4" customWidth="1"/>
    <col min="9708" max="9708" width="7.5703125" style="4" customWidth="1"/>
    <col min="9709" max="9709" width="39" style="4" customWidth="1"/>
    <col min="9710" max="9710" width="20.5703125" style="4" customWidth="1"/>
    <col min="9711" max="9711" width="5.7109375" style="4" customWidth="1"/>
    <col min="9712" max="9712" width="8.28515625" style="4" customWidth="1"/>
    <col min="9713" max="9713" width="9.140625" style="4" customWidth="1"/>
    <col min="9714" max="9714" width="10.7109375" style="4" customWidth="1"/>
    <col min="9715" max="9715" width="13.5703125" style="4" customWidth="1"/>
    <col min="9716" max="9962" width="9.140625" style="4"/>
    <col min="9963" max="9963" width="5.7109375" style="4" customWidth="1"/>
    <col min="9964" max="9964" width="7.5703125" style="4" customWidth="1"/>
    <col min="9965" max="9965" width="39" style="4" customWidth="1"/>
    <col min="9966" max="9966" width="20.5703125" style="4" customWidth="1"/>
    <col min="9967" max="9967" width="5.7109375" style="4" customWidth="1"/>
    <col min="9968" max="9968" width="8.28515625" style="4" customWidth="1"/>
    <col min="9969" max="9969" width="9.140625" style="4" customWidth="1"/>
    <col min="9970" max="9970" width="10.7109375" style="4" customWidth="1"/>
    <col min="9971" max="9971" width="13.5703125" style="4" customWidth="1"/>
    <col min="9972" max="10218" width="9.140625" style="4"/>
    <col min="10219" max="10219" width="5.7109375" style="4" customWidth="1"/>
    <col min="10220" max="10220" width="7.5703125" style="4" customWidth="1"/>
    <col min="10221" max="10221" width="39" style="4" customWidth="1"/>
    <col min="10222" max="10222" width="20.5703125" style="4" customWidth="1"/>
    <col min="10223" max="10223" width="5.7109375" style="4" customWidth="1"/>
    <col min="10224" max="10224" width="8.28515625" style="4" customWidth="1"/>
    <col min="10225" max="10225" width="9.140625" style="4" customWidth="1"/>
    <col min="10226" max="10226" width="10.7109375" style="4" customWidth="1"/>
    <col min="10227" max="10227" width="13.5703125" style="4" customWidth="1"/>
    <col min="10228" max="10474" width="9.140625" style="4"/>
    <col min="10475" max="10475" width="5.7109375" style="4" customWidth="1"/>
    <col min="10476" max="10476" width="7.5703125" style="4" customWidth="1"/>
    <col min="10477" max="10477" width="39" style="4" customWidth="1"/>
    <col min="10478" max="10478" width="20.5703125" style="4" customWidth="1"/>
    <col min="10479" max="10479" width="5.7109375" style="4" customWidth="1"/>
    <col min="10480" max="10480" width="8.28515625" style="4" customWidth="1"/>
    <col min="10481" max="10481" width="9.140625" style="4" customWidth="1"/>
    <col min="10482" max="10482" width="10.7109375" style="4" customWidth="1"/>
    <col min="10483" max="10483" width="13.5703125" style="4" customWidth="1"/>
    <col min="10484" max="10730" width="9.140625" style="4"/>
    <col min="10731" max="10731" width="5.7109375" style="4" customWidth="1"/>
    <col min="10732" max="10732" width="7.5703125" style="4" customWidth="1"/>
    <col min="10733" max="10733" width="39" style="4" customWidth="1"/>
    <col min="10734" max="10734" width="20.5703125" style="4" customWidth="1"/>
    <col min="10735" max="10735" width="5.7109375" style="4" customWidth="1"/>
    <col min="10736" max="10736" width="8.28515625" style="4" customWidth="1"/>
    <col min="10737" max="10737" width="9.140625" style="4" customWidth="1"/>
    <col min="10738" max="10738" width="10.7109375" style="4" customWidth="1"/>
    <col min="10739" max="10739" width="13.5703125" style="4" customWidth="1"/>
    <col min="10740" max="10986" width="9.140625" style="4"/>
    <col min="10987" max="10987" width="5.7109375" style="4" customWidth="1"/>
    <col min="10988" max="10988" width="7.5703125" style="4" customWidth="1"/>
    <col min="10989" max="10989" width="39" style="4" customWidth="1"/>
    <col min="10990" max="10990" width="20.5703125" style="4" customWidth="1"/>
    <col min="10991" max="10991" width="5.7109375" style="4" customWidth="1"/>
    <col min="10992" max="10992" width="8.28515625" style="4" customWidth="1"/>
    <col min="10993" max="10993" width="9.140625" style="4" customWidth="1"/>
    <col min="10994" max="10994" width="10.7109375" style="4" customWidth="1"/>
    <col min="10995" max="10995" width="13.5703125" style="4" customWidth="1"/>
    <col min="10996" max="11242" width="9.140625" style="4"/>
    <col min="11243" max="11243" width="5.7109375" style="4" customWidth="1"/>
    <col min="11244" max="11244" width="7.5703125" style="4" customWidth="1"/>
    <col min="11245" max="11245" width="39" style="4" customWidth="1"/>
    <col min="11246" max="11246" width="20.5703125" style="4" customWidth="1"/>
    <col min="11247" max="11247" width="5.7109375" style="4" customWidth="1"/>
    <col min="11248" max="11248" width="8.28515625" style="4" customWidth="1"/>
    <col min="11249" max="11249" width="9.140625" style="4" customWidth="1"/>
    <col min="11250" max="11250" width="10.7109375" style="4" customWidth="1"/>
    <col min="11251" max="11251" width="13.5703125" style="4" customWidth="1"/>
    <col min="11252" max="11498" width="9.140625" style="4"/>
    <col min="11499" max="11499" width="5.7109375" style="4" customWidth="1"/>
    <col min="11500" max="11500" width="7.5703125" style="4" customWidth="1"/>
    <col min="11501" max="11501" width="39" style="4" customWidth="1"/>
    <col min="11502" max="11502" width="20.5703125" style="4" customWidth="1"/>
    <col min="11503" max="11503" width="5.7109375" style="4" customWidth="1"/>
    <col min="11504" max="11504" width="8.28515625" style="4" customWidth="1"/>
    <col min="11505" max="11505" width="9.140625" style="4" customWidth="1"/>
    <col min="11506" max="11506" width="10.7109375" style="4" customWidth="1"/>
    <col min="11507" max="11507" width="13.5703125" style="4" customWidth="1"/>
    <col min="11508" max="11754" width="9.140625" style="4"/>
    <col min="11755" max="11755" width="5.7109375" style="4" customWidth="1"/>
    <col min="11756" max="11756" width="7.5703125" style="4" customWidth="1"/>
    <col min="11757" max="11757" width="39" style="4" customWidth="1"/>
    <col min="11758" max="11758" width="20.5703125" style="4" customWidth="1"/>
    <col min="11759" max="11759" width="5.7109375" style="4" customWidth="1"/>
    <col min="11760" max="11760" width="8.28515625" style="4" customWidth="1"/>
    <col min="11761" max="11761" width="9.140625" style="4" customWidth="1"/>
    <col min="11762" max="11762" width="10.7109375" style="4" customWidth="1"/>
    <col min="11763" max="11763" width="13.5703125" style="4" customWidth="1"/>
    <col min="11764" max="12010" width="9.140625" style="4"/>
    <col min="12011" max="12011" width="5.7109375" style="4" customWidth="1"/>
    <col min="12012" max="12012" width="7.5703125" style="4" customWidth="1"/>
    <col min="12013" max="12013" width="39" style="4" customWidth="1"/>
    <col min="12014" max="12014" width="20.5703125" style="4" customWidth="1"/>
    <col min="12015" max="12015" width="5.7109375" style="4" customWidth="1"/>
    <col min="12016" max="12016" width="8.28515625" style="4" customWidth="1"/>
    <col min="12017" max="12017" width="9.140625" style="4" customWidth="1"/>
    <col min="12018" max="12018" width="10.7109375" style="4" customWidth="1"/>
    <col min="12019" max="12019" width="13.5703125" style="4" customWidth="1"/>
    <col min="12020" max="12266" width="9.140625" style="4"/>
    <col min="12267" max="12267" width="5.7109375" style="4" customWidth="1"/>
    <col min="12268" max="12268" width="7.5703125" style="4" customWidth="1"/>
    <col min="12269" max="12269" width="39" style="4" customWidth="1"/>
    <col min="12270" max="12270" width="20.5703125" style="4" customWidth="1"/>
    <col min="12271" max="12271" width="5.7109375" style="4" customWidth="1"/>
    <col min="12272" max="12272" width="8.28515625" style="4" customWidth="1"/>
    <col min="12273" max="12273" width="9.140625" style="4" customWidth="1"/>
    <col min="12274" max="12274" width="10.7109375" style="4" customWidth="1"/>
    <col min="12275" max="12275" width="13.5703125" style="4" customWidth="1"/>
    <col min="12276" max="12522" width="9.140625" style="4"/>
    <col min="12523" max="12523" width="5.7109375" style="4" customWidth="1"/>
    <col min="12524" max="12524" width="7.5703125" style="4" customWidth="1"/>
    <col min="12525" max="12525" width="39" style="4" customWidth="1"/>
    <col min="12526" max="12526" width="20.5703125" style="4" customWidth="1"/>
    <col min="12527" max="12527" width="5.7109375" style="4" customWidth="1"/>
    <col min="12528" max="12528" width="8.28515625" style="4" customWidth="1"/>
    <col min="12529" max="12529" width="9.140625" style="4" customWidth="1"/>
    <col min="12530" max="12530" width="10.7109375" style="4" customWidth="1"/>
    <col min="12531" max="12531" width="13.5703125" style="4" customWidth="1"/>
    <col min="12532" max="12778" width="9.140625" style="4"/>
    <col min="12779" max="12779" width="5.7109375" style="4" customWidth="1"/>
    <col min="12780" max="12780" width="7.5703125" style="4" customWidth="1"/>
    <col min="12781" max="12781" width="39" style="4" customWidth="1"/>
    <col min="12782" max="12782" width="20.5703125" style="4" customWidth="1"/>
    <col min="12783" max="12783" width="5.7109375" style="4" customWidth="1"/>
    <col min="12784" max="12784" width="8.28515625" style="4" customWidth="1"/>
    <col min="12785" max="12785" width="9.140625" style="4" customWidth="1"/>
    <col min="12786" max="12786" width="10.7109375" style="4" customWidth="1"/>
    <col min="12787" max="12787" width="13.5703125" style="4" customWidth="1"/>
    <col min="12788" max="13034" width="9.140625" style="4"/>
    <col min="13035" max="13035" width="5.7109375" style="4" customWidth="1"/>
    <col min="13036" max="13036" width="7.5703125" style="4" customWidth="1"/>
    <col min="13037" max="13037" width="39" style="4" customWidth="1"/>
    <col min="13038" max="13038" width="20.5703125" style="4" customWidth="1"/>
    <col min="13039" max="13039" width="5.7109375" style="4" customWidth="1"/>
    <col min="13040" max="13040" width="8.28515625" style="4" customWidth="1"/>
    <col min="13041" max="13041" width="9.140625" style="4" customWidth="1"/>
    <col min="13042" max="13042" width="10.7109375" style="4" customWidth="1"/>
    <col min="13043" max="13043" width="13.5703125" style="4" customWidth="1"/>
    <col min="13044" max="13290" width="9.140625" style="4"/>
    <col min="13291" max="13291" width="5.7109375" style="4" customWidth="1"/>
    <col min="13292" max="13292" width="7.5703125" style="4" customWidth="1"/>
    <col min="13293" max="13293" width="39" style="4" customWidth="1"/>
    <col min="13294" max="13294" width="20.5703125" style="4" customWidth="1"/>
    <col min="13295" max="13295" width="5.7109375" style="4" customWidth="1"/>
    <col min="13296" max="13296" width="8.28515625" style="4" customWidth="1"/>
    <col min="13297" max="13297" width="9.140625" style="4" customWidth="1"/>
    <col min="13298" max="13298" width="10.7109375" style="4" customWidth="1"/>
    <col min="13299" max="13299" width="13.5703125" style="4" customWidth="1"/>
    <col min="13300" max="13546" width="9.140625" style="4"/>
    <col min="13547" max="13547" width="5.7109375" style="4" customWidth="1"/>
    <col min="13548" max="13548" width="7.5703125" style="4" customWidth="1"/>
    <col min="13549" max="13549" width="39" style="4" customWidth="1"/>
    <col min="13550" max="13550" width="20.5703125" style="4" customWidth="1"/>
    <col min="13551" max="13551" width="5.7109375" style="4" customWidth="1"/>
    <col min="13552" max="13552" width="8.28515625" style="4" customWidth="1"/>
    <col min="13553" max="13553" width="9.140625" style="4" customWidth="1"/>
    <col min="13554" max="13554" width="10.7109375" style="4" customWidth="1"/>
    <col min="13555" max="13555" width="13.5703125" style="4" customWidth="1"/>
    <col min="13556" max="13802" width="9.140625" style="4"/>
    <col min="13803" max="13803" width="5.7109375" style="4" customWidth="1"/>
    <col min="13804" max="13804" width="7.5703125" style="4" customWidth="1"/>
    <col min="13805" max="13805" width="39" style="4" customWidth="1"/>
    <col min="13806" max="13806" width="20.5703125" style="4" customWidth="1"/>
    <col min="13807" max="13807" width="5.7109375" style="4" customWidth="1"/>
    <col min="13808" max="13808" width="8.28515625" style="4" customWidth="1"/>
    <col min="13809" max="13809" width="9.140625" style="4" customWidth="1"/>
    <col min="13810" max="13810" width="10.7109375" style="4" customWidth="1"/>
    <col min="13811" max="13811" width="13.5703125" style="4" customWidth="1"/>
    <col min="13812" max="14058" width="9.140625" style="4"/>
    <col min="14059" max="14059" width="5.7109375" style="4" customWidth="1"/>
    <col min="14060" max="14060" width="7.5703125" style="4" customWidth="1"/>
    <col min="14061" max="14061" width="39" style="4" customWidth="1"/>
    <col min="14062" max="14062" width="20.5703125" style="4" customWidth="1"/>
    <col min="14063" max="14063" width="5.7109375" style="4" customWidth="1"/>
    <col min="14064" max="14064" width="8.28515625" style="4" customWidth="1"/>
    <col min="14065" max="14065" width="9.140625" style="4" customWidth="1"/>
    <col min="14066" max="14066" width="10.7109375" style="4" customWidth="1"/>
    <col min="14067" max="14067" width="13.5703125" style="4" customWidth="1"/>
    <col min="14068" max="14314" width="9.140625" style="4"/>
    <col min="14315" max="14315" width="5.7109375" style="4" customWidth="1"/>
    <col min="14316" max="14316" width="7.5703125" style="4" customWidth="1"/>
    <col min="14317" max="14317" width="39" style="4" customWidth="1"/>
    <col min="14318" max="14318" width="20.5703125" style="4" customWidth="1"/>
    <col min="14319" max="14319" width="5.7109375" style="4" customWidth="1"/>
    <col min="14320" max="14320" width="8.28515625" style="4" customWidth="1"/>
    <col min="14321" max="14321" width="9.140625" style="4" customWidth="1"/>
    <col min="14322" max="14322" width="10.7109375" style="4" customWidth="1"/>
    <col min="14323" max="14323" width="13.5703125" style="4" customWidth="1"/>
    <col min="14324" max="14570" width="9.140625" style="4"/>
    <col min="14571" max="14571" width="5.7109375" style="4" customWidth="1"/>
    <col min="14572" max="14572" width="7.5703125" style="4" customWidth="1"/>
    <col min="14573" max="14573" width="39" style="4" customWidth="1"/>
    <col min="14574" max="14574" width="20.5703125" style="4" customWidth="1"/>
    <col min="14575" max="14575" width="5.7109375" style="4" customWidth="1"/>
    <col min="14576" max="14576" width="8.28515625" style="4" customWidth="1"/>
    <col min="14577" max="14577" width="9.140625" style="4" customWidth="1"/>
    <col min="14578" max="14578" width="10.7109375" style="4" customWidth="1"/>
    <col min="14579" max="14579" width="13.5703125" style="4" customWidth="1"/>
    <col min="14580" max="14826" width="9.140625" style="4"/>
    <col min="14827" max="14827" width="5.7109375" style="4" customWidth="1"/>
    <col min="14828" max="14828" width="7.5703125" style="4" customWidth="1"/>
    <col min="14829" max="14829" width="39" style="4" customWidth="1"/>
    <col min="14830" max="14830" width="20.5703125" style="4" customWidth="1"/>
    <col min="14831" max="14831" width="5.7109375" style="4" customWidth="1"/>
    <col min="14832" max="14832" width="8.28515625" style="4" customWidth="1"/>
    <col min="14833" max="14833" width="9.140625" style="4" customWidth="1"/>
    <col min="14834" max="14834" width="10.7109375" style="4" customWidth="1"/>
    <col min="14835" max="14835" width="13.5703125" style="4" customWidth="1"/>
    <col min="14836" max="15082" width="9.140625" style="4"/>
    <col min="15083" max="15083" width="5.7109375" style="4" customWidth="1"/>
    <col min="15084" max="15084" width="7.5703125" style="4" customWidth="1"/>
    <col min="15085" max="15085" width="39" style="4" customWidth="1"/>
    <col min="15086" max="15086" width="20.5703125" style="4" customWidth="1"/>
    <col min="15087" max="15087" width="5.7109375" style="4" customWidth="1"/>
    <col min="15088" max="15088" width="8.28515625" style="4" customWidth="1"/>
    <col min="15089" max="15089" width="9.140625" style="4" customWidth="1"/>
    <col min="15090" max="15090" width="10.7109375" style="4" customWidth="1"/>
    <col min="15091" max="15091" width="13.5703125" style="4" customWidth="1"/>
    <col min="15092" max="15338" width="9.140625" style="4"/>
    <col min="15339" max="15339" width="5.7109375" style="4" customWidth="1"/>
    <col min="15340" max="15340" width="7.5703125" style="4" customWidth="1"/>
    <col min="15341" max="15341" width="39" style="4" customWidth="1"/>
    <col min="15342" max="15342" width="20.5703125" style="4" customWidth="1"/>
    <col min="15343" max="15343" width="5.7109375" style="4" customWidth="1"/>
    <col min="15344" max="15344" width="8.28515625" style="4" customWidth="1"/>
    <col min="15345" max="15345" width="9.140625" style="4" customWidth="1"/>
    <col min="15346" max="15346" width="10.7109375" style="4" customWidth="1"/>
    <col min="15347" max="15347" width="13.5703125" style="4" customWidth="1"/>
    <col min="15348" max="15594" width="9.140625" style="4"/>
    <col min="15595" max="15595" width="5.7109375" style="4" customWidth="1"/>
    <col min="15596" max="15596" width="7.5703125" style="4" customWidth="1"/>
    <col min="15597" max="15597" width="39" style="4" customWidth="1"/>
    <col min="15598" max="15598" width="20.5703125" style="4" customWidth="1"/>
    <col min="15599" max="15599" width="5.7109375" style="4" customWidth="1"/>
    <col min="15600" max="15600" width="8.28515625" style="4" customWidth="1"/>
    <col min="15601" max="15601" width="9.140625" style="4" customWidth="1"/>
    <col min="15602" max="15602" width="10.7109375" style="4" customWidth="1"/>
    <col min="15603" max="15603" width="13.5703125" style="4" customWidth="1"/>
    <col min="15604" max="15850" width="9.140625" style="4"/>
    <col min="15851" max="15851" width="5.7109375" style="4" customWidth="1"/>
    <col min="15852" max="15852" width="7.5703125" style="4" customWidth="1"/>
    <col min="15853" max="15853" width="39" style="4" customWidth="1"/>
    <col min="15854" max="15854" width="20.5703125" style="4" customWidth="1"/>
    <col min="15855" max="15855" width="5.7109375" style="4" customWidth="1"/>
    <col min="15856" max="15856" width="8.28515625" style="4" customWidth="1"/>
    <col min="15857" max="15857" width="9.140625" style="4" customWidth="1"/>
    <col min="15858" max="15858" width="10.7109375" style="4" customWidth="1"/>
    <col min="15859" max="15859" width="13.5703125" style="4" customWidth="1"/>
    <col min="15860" max="16106" width="9.140625" style="4"/>
    <col min="16107" max="16107" width="5.7109375" style="4" customWidth="1"/>
    <col min="16108" max="16108" width="7.5703125" style="4" customWidth="1"/>
    <col min="16109" max="16109" width="39" style="4" customWidth="1"/>
    <col min="16110" max="16110" width="20.5703125" style="4" customWidth="1"/>
    <col min="16111" max="16111" width="5.7109375" style="4" customWidth="1"/>
    <col min="16112" max="16112" width="8.28515625" style="4" customWidth="1"/>
    <col min="16113" max="16113" width="9.140625" style="4" customWidth="1"/>
    <col min="16114" max="16114" width="10.7109375" style="4" customWidth="1"/>
    <col min="16115" max="16115" width="13.5703125" style="4" customWidth="1"/>
    <col min="16116" max="16384" width="9.140625" style="4"/>
  </cols>
  <sheetData>
    <row r="1" spans="1:5" ht="20.25">
      <c r="A1" s="134" t="s">
        <v>38</v>
      </c>
      <c r="B1" s="134"/>
      <c r="C1" s="134"/>
      <c r="D1" s="134"/>
      <c r="E1" s="134"/>
    </row>
    <row r="2" spans="1:5" ht="20.25">
      <c r="A2" s="134" t="s">
        <v>39</v>
      </c>
      <c r="B2" s="134"/>
      <c r="C2" s="134"/>
      <c r="D2" s="134"/>
      <c r="E2" s="134"/>
    </row>
    <row r="3" spans="1:5" ht="18.75">
      <c r="A3" s="135" t="s">
        <v>1</v>
      </c>
      <c r="B3" s="135"/>
      <c r="C3" s="135"/>
      <c r="D3" s="135"/>
      <c r="E3" s="135"/>
    </row>
    <row r="4" spans="1:5" ht="18.75">
      <c r="A4" s="135" t="s">
        <v>2</v>
      </c>
      <c r="B4" s="135"/>
      <c r="C4" s="135"/>
      <c r="D4" s="135"/>
      <c r="E4" s="135"/>
    </row>
    <row r="5" spans="1:5" ht="18.75">
      <c r="A5" s="135" t="s">
        <v>3</v>
      </c>
      <c r="B5" s="135"/>
      <c r="C5" s="135"/>
      <c r="D5" s="135"/>
      <c r="E5" s="135"/>
    </row>
    <row r="6" spans="1:5" ht="18.75">
      <c r="A6" s="136" t="s">
        <v>4</v>
      </c>
      <c r="B6" s="136"/>
      <c r="C6" s="136"/>
      <c r="D6" s="136"/>
      <c r="E6" s="136"/>
    </row>
    <row r="7" spans="1:5" ht="15.75">
      <c r="A7" s="137" t="s">
        <v>40</v>
      </c>
      <c r="B7" s="137"/>
      <c r="C7" s="137"/>
      <c r="D7" s="137"/>
      <c r="E7" s="137"/>
    </row>
    <row r="8" spans="1:5" ht="15.75">
      <c r="A8" s="138" t="s">
        <v>41</v>
      </c>
      <c r="B8" s="138"/>
      <c r="C8" s="138"/>
      <c r="D8" s="138"/>
      <c r="E8" s="138"/>
    </row>
    <row r="9" spans="1:5" ht="15.75">
      <c r="A9" s="7"/>
      <c r="B9" s="7"/>
      <c r="C9" s="7"/>
      <c r="D9" s="7"/>
      <c r="E9" s="7"/>
    </row>
    <row r="10" spans="1:5" ht="15.75">
      <c r="A10" s="8" t="s">
        <v>8</v>
      </c>
      <c r="B10" s="9" t="s">
        <v>68</v>
      </c>
      <c r="C10" s="10"/>
      <c r="D10" s="128" t="s">
        <v>10</v>
      </c>
      <c r="E10" s="128" t="s">
        <v>43</v>
      </c>
    </row>
    <row r="11" spans="1:5" ht="15.75">
      <c r="A11" s="9" t="s">
        <v>12</v>
      </c>
      <c r="B11" s="9" t="s">
        <v>69</v>
      </c>
      <c r="C11" s="10"/>
      <c r="D11" s="11"/>
      <c r="E11" s="11"/>
    </row>
    <row r="12" spans="1:5" ht="15.75">
      <c r="A12" s="9"/>
      <c r="B12" s="9" t="s">
        <v>14</v>
      </c>
      <c r="C12" s="10"/>
      <c r="D12" s="11"/>
      <c r="E12" s="11"/>
    </row>
    <row r="13" spans="1:5" ht="15.75">
      <c r="A13" s="9"/>
      <c r="B13" s="9"/>
      <c r="C13" s="10"/>
      <c r="D13" s="11"/>
      <c r="E13" s="11"/>
    </row>
    <row r="14" spans="1:5" ht="15.75">
      <c r="A14" s="9" t="s">
        <v>15</v>
      </c>
      <c r="B14" s="9"/>
      <c r="C14" s="10"/>
      <c r="D14" s="11"/>
      <c r="E14" s="11"/>
    </row>
    <row r="15" spans="1:5" ht="15.75">
      <c r="A15" s="9" t="s">
        <v>16</v>
      </c>
      <c r="B15" s="9"/>
      <c r="C15" s="10"/>
      <c r="D15" s="11"/>
      <c r="E15" s="11"/>
    </row>
    <row r="16" spans="1:5" ht="15.75">
      <c r="A16" s="9"/>
      <c r="B16" s="9"/>
      <c r="C16" s="10"/>
      <c r="D16" s="11"/>
      <c r="E16" s="11"/>
    </row>
    <row r="17" spans="1:7" s="3" customFormat="1" ht="60.75" customHeight="1">
      <c r="A17" s="140" t="s">
        <v>70</v>
      </c>
      <c r="B17" s="140"/>
      <c r="C17" s="140"/>
      <c r="D17" s="140"/>
      <c r="E17" s="140"/>
    </row>
    <row r="18" spans="1:7" ht="15.75">
      <c r="A18" s="12"/>
      <c r="B18" s="12"/>
      <c r="C18" s="13"/>
      <c r="D18" s="11"/>
      <c r="E18" s="11"/>
    </row>
    <row r="19" spans="1:7" s="1" customFormat="1" ht="15" customHeight="1">
      <c r="A19" s="14" t="s">
        <v>18</v>
      </c>
      <c r="B19" s="141" t="s">
        <v>19</v>
      </c>
      <c r="C19" s="142"/>
      <c r="D19" s="15" t="s">
        <v>21</v>
      </c>
      <c r="E19" s="16" t="s">
        <v>71</v>
      </c>
    </row>
    <row r="20" spans="1:7" s="80" customFormat="1" ht="27" customHeight="1">
      <c r="A20" s="36">
        <v>1</v>
      </c>
      <c r="B20" s="143" t="s">
        <v>72</v>
      </c>
      <c r="C20" s="144"/>
      <c r="D20" s="81"/>
      <c r="E20" s="82">
        <v>400000</v>
      </c>
    </row>
    <row r="21" spans="1:7" ht="15.75">
      <c r="A21" s="12"/>
      <c r="B21" s="12"/>
      <c r="C21" s="13"/>
      <c r="D21" s="11"/>
      <c r="E21" s="11"/>
    </row>
    <row r="22" spans="1:7" ht="15.75">
      <c r="A22" s="9" t="s">
        <v>29</v>
      </c>
      <c r="B22" s="12"/>
      <c r="C22" s="13"/>
      <c r="D22" s="11"/>
      <c r="E22" s="11"/>
    </row>
    <row r="23" spans="1:7" ht="15.75">
      <c r="A23" s="9"/>
      <c r="B23" s="12"/>
      <c r="C23" s="13"/>
      <c r="D23" s="11"/>
      <c r="E23" s="11"/>
    </row>
    <row r="24" spans="1:7" ht="15.75">
      <c r="A24" s="9"/>
      <c r="B24" s="12"/>
      <c r="C24" s="40" t="s">
        <v>65</v>
      </c>
      <c r="D24" s="12"/>
      <c r="E24" s="11"/>
      <c r="F24" s="6"/>
      <c r="G24" s="6"/>
    </row>
    <row r="25" spans="1:7" ht="15.75">
      <c r="A25" s="12"/>
      <c r="B25" s="12"/>
      <c r="C25" s="40"/>
      <c r="D25" s="12"/>
      <c r="E25" s="11"/>
      <c r="F25" s="6"/>
      <c r="G25" s="6"/>
    </row>
    <row r="26" spans="1:7" ht="15.75">
      <c r="A26" s="12"/>
      <c r="B26" s="12"/>
      <c r="C26" s="40"/>
      <c r="D26" s="12"/>
      <c r="E26" s="11"/>
      <c r="F26" s="6"/>
      <c r="G26" s="6"/>
    </row>
    <row r="27" spans="1:7" ht="15.75">
      <c r="A27" s="12"/>
      <c r="B27" s="12"/>
      <c r="C27" s="12"/>
      <c r="D27" s="12"/>
      <c r="E27" s="11"/>
      <c r="F27" s="6"/>
      <c r="G27" s="6"/>
    </row>
    <row r="28" spans="1:7" ht="15.75">
      <c r="A28" s="12"/>
      <c r="B28" s="12"/>
      <c r="C28" s="42" t="s">
        <v>66</v>
      </c>
      <c r="D28" s="12"/>
      <c r="E28" s="11"/>
      <c r="F28" s="6"/>
      <c r="G28" s="6"/>
    </row>
    <row r="29" spans="1:7" ht="15.75">
      <c r="A29" s="12"/>
      <c r="B29" s="12"/>
      <c r="C29" s="43" t="s">
        <v>67</v>
      </c>
      <c r="D29" s="43"/>
      <c r="E29" s="43"/>
      <c r="F29" s="41"/>
      <c r="G29" s="41"/>
    </row>
  </sheetData>
  <mergeCells count="11">
    <mergeCell ref="B20:C20"/>
    <mergeCell ref="A6:E6"/>
    <mergeCell ref="A7:E7"/>
    <mergeCell ref="A8:E8"/>
    <mergeCell ref="A17:E17"/>
    <mergeCell ref="B19:C19"/>
    <mergeCell ref="A1:E1"/>
    <mergeCell ref="A2:E2"/>
    <mergeCell ref="A3:E3"/>
    <mergeCell ref="A4:E4"/>
    <mergeCell ref="A5:E5"/>
  </mergeCells>
  <hyperlinks>
    <hyperlink ref="A8" r:id="rId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8"/>
  <sheetViews>
    <sheetView zoomScale="130" zoomScaleNormal="130" workbookViewId="0">
      <selection activeCell="E23" sqref="E23"/>
    </sheetView>
  </sheetViews>
  <sheetFormatPr defaultColWidth="9.140625" defaultRowHeight="12.75"/>
  <cols>
    <col min="1" max="1" width="3.7109375" style="45" customWidth="1"/>
    <col min="2" max="2" width="5.140625" style="45" customWidth="1"/>
    <col min="3" max="3" width="37.28515625" style="45" customWidth="1"/>
    <col min="4" max="4" width="20.7109375" style="45" customWidth="1"/>
    <col min="5" max="5" width="17.140625" style="46" customWidth="1"/>
    <col min="6" max="6" width="15.140625" style="46" customWidth="1"/>
    <col min="7" max="7" width="18" style="46" customWidth="1"/>
    <col min="8" max="8" width="14.5703125" style="46" customWidth="1"/>
    <col min="9" max="14" width="13.140625" style="46" customWidth="1"/>
    <col min="15" max="15" width="14.140625" style="46" customWidth="1"/>
    <col min="16" max="16" width="14.5703125" style="45" customWidth="1"/>
    <col min="17" max="17" width="14.5703125" style="47" customWidth="1"/>
    <col min="18" max="18" width="12.140625" style="45" customWidth="1"/>
    <col min="19" max="16384" width="9.140625" style="45"/>
  </cols>
  <sheetData>
    <row r="1" spans="2:17">
      <c r="B1" s="48" t="s">
        <v>73</v>
      </c>
      <c r="C1" s="48"/>
      <c r="D1" s="48"/>
      <c r="E1" s="49"/>
      <c r="F1" s="49"/>
      <c r="G1" s="49"/>
      <c r="H1" s="49"/>
      <c r="I1" s="49"/>
      <c r="J1" s="49"/>
      <c r="K1" s="49"/>
      <c r="L1" s="49"/>
      <c r="M1" s="49"/>
      <c r="N1" s="49"/>
      <c r="O1" s="49"/>
    </row>
    <row r="2" spans="2:17">
      <c r="B2" s="48" t="s">
        <v>74</v>
      </c>
      <c r="C2" s="48"/>
      <c r="D2" s="48"/>
      <c r="E2" s="49"/>
      <c r="F2" s="49"/>
      <c r="G2" s="49"/>
      <c r="H2" s="49"/>
      <c r="I2" s="49"/>
      <c r="J2" s="49"/>
      <c r="K2" s="49"/>
      <c r="L2" s="49"/>
      <c r="M2" s="49"/>
      <c r="N2" s="49"/>
      <c r="O2" s="49"/>
    </row>
    <row r="3" spans="2:17">
      <c r="B3" s="48"/>
      <c r="C3" s="48"/>
      <c r="D3" s="48"/>
      <c r="E3" s="49"/>
      <c r="F3" s="49"/>
      <c r="G3" s="49"/>
      <c r="H3" s="49"/>
      <c r="I3" s="49"/>
      <c r="J3" s="49"/>
      <c r="K3" s="49"/>
      <c r="L3" s="49"/>
      <c r="M3" s="49"/>
      <c r="N3" s="49"/>
      <c r="O3" s="49"/>
    </row>
    <row r="4" spans="2:17">
      <c r="B4" s="152" t="s">
        <v>18</v>
      </c>
      <c r="C4" s="152" t="s">
        <v>19</v>
      </c>
      <c r="D4" s="50" t="s">
        <v>75</v>
      </c>
      <c r="E4" s="154" t="s">
        <v>76</v>
      </c>
      <c r="F4" s="154" t="s">
        <v>77</v>
      </c>
      <c r="G4" s="154" t="s">
        <v>78</v>
      </c>
      <c r="H4" s="145" t="s">
        <v>79</v>
      </c>
      <c r="I4" s="146"/>
      <c r="J4" s="146"/>
      <c r="K4" s="146"/>
      <c r="L4" s="146"/>
      <c r="M4" s="146"/>
      <c r="N4" s="147"/>
      <c r="O4" s="154" t="s">
        <v>80</v>
      </c>
    </row>
    <row r="5" spans="2:17">
      <c r="B5" s="153"/>
      <c r="C5" s="153"/>
      <c r="D5" s="51" t="s">
        <v>81</v>
      </c>
      <c r="E5" s="155"/>
      <c r="F5" s="155"/>
      <c r="G5" s="155"/>
      <c r="H5" s="52">
        <v>525111</v>
      </c>
      <c r="I5" s="53">
        <v>525112</v>
      </c>
      <c r="J5" s="53">
        <v>525113</v>
      </c>
      <c r="K5" s="53">
        <v>525115</v>
      </c>
      <c r="L5" s="53">
        <v>525119</v>
      </c>
      <c r="M5" s="53">
        <v>525152</v>
      </c>
      <c r="N5" s="53">
        <v>525154</v>
      </c>
      <c r="O5" s="155"/>
    </row>
    <row r="6" spans="2:17" s="44" customFormat="1" ht="25.5">
      <c r="B6" s="54">
        <v>1</v>
      </c>
      <c r="C6" s="55" t="s">
        <v>82</v>
      </c>
      <c r="D6" s="56" t="s">
        <v>83</v>
      </c>
      <c r="E6" s="57">
        <v>5105000</v>
      </c>
      <c r="F6" s="57">
        <v>3200000</v>
      </c>
      <c r="G6" s="57">
        <f t="shared" ref="G6:G11" si="0">SUM(H6:N6)</f>
        <v>1905000</v>
      </c>
      <c r="H6" s="57"/>
      <c r="I6" s="57">
        <v>555000</v>
      </c>
      <c r="J6" s="57">
        <v>1350000</v>
      </c>
      <c r="K6" s="57"/>
      <c r="L6" s="57"/>
      <c r="M6" s="57"/>
      <c r="N6" s="57"/>
      <c r="O6" s="57">
        <f t="shared" ref="O6:O11" si="1">E6-F6-G6</f>
        <v>0</v>
      </c>
      <c r="Q6" s="58"/>
    </row>
    <row r="7" spans="2:17" s="44" customFormat="1" ht="25.5">
      <c r="B7" s="54">
        <v>2</v>
      </c>
      <c r="C7" s="59" t="s">
        <v>84</v>
      </c>
      <c r="D7" s="56" t="s">
        <v>85</v>
      </c>
      <c r="E7" s="57">
        <v>4700000</v>
      </c>
      <c r="F7" s="57"/>
      <c r="G7" s="57">
        <f t="shared" si="0"/>
        <v>4700000</v>
      </c>
      <c r="H7" s="57"/>
      <c r="I7" s="57">
        <v>2250000</v>
      </c>
      <c r="J7" s="57">
        <v>2450000</v>
      </c>
      <c r="K7" s="57"/>
      <c r="L7" s="57"/>
      <c r="M7" s="57"/>
      <c r="N7" s="57"/>
      <c r="O7" s="57">
        <f t="shared" si="1"/>
        <v>0</v>
      </c>
      <c r="Q7" s="58"/>
    </row>
    <row r="8" spans="2:17" s="44" customFormat="1" ht="25.5">
      <c r="B8" s="54">
        <v>3</v>
      </c>
      <c r="C8" s="59" t="s">
        <v>86</v>
      </c>
      <c r="D8" s="60" t="s">
        <v>87</v>
      </c>
      <c r="E8" s="57">
        <v>10318000</v>
      </c>
      <c r="F8" s="57"/>
      <c r="G8" s="57">
        <f t="shared" si="0"/>
        <v>10318000</v>
      </c>
      <c r="H8" s="57"/>
      <c r="I8" s="57"/>
      <c r="J8" s="57"/>
      <c r="K8" s="57"/>
      <c r="L8" s="57">
        <v>10318000</v>
      </c>
      <c r="M8" s="57"/>
      <c r="N8" s="57"/>
      <c r="O8" s="57">
        <f t="shared" si="1"/>
        <v>0</v>
      </c>
      <c r="Q8" s="58"/>
    </row>
    <row r="9" spans="2:17" s="44" customFormat="1" ht="25.5">
      <c r="B9" s="54">
        <v>4</v>
      </c>
      <c r="C9" s="59" t="s">
        <v>88</v>
      </c>
      <c r="D9" s="56" t="s">
        <v>89</v>
      </c>
      <c r="E9" s="57">
        <v>26090000</v>
      </c>
      <c r="F9" s="57"/>
      <c r="G9" s="57">
        <f t="shared" si="0"/>
        <v>26090000</v>
      </c>
      <c r="H9" s="57">
        <v>600000</v>
      </c>
      <c r="I9" s="57">
        <v>3255000</v>
      </c>
      <c r="J9" s="57">
        <v>7775000</v>
      </c>
      <c r="K9" s="57"/>
      <c r="L9" s="57">
        <v>14460000</v>
      </c>
      <c r="M9" s="57"/>
      <c r="N9" s="57"/>
      <c r="O9" s="57">
        <f t="shared" si="1"/>
        <v>0</v>
      </c>
      <c r="Q9" s="58"/>
    </row>
    <row r="10" spans="2:17" s="44" customFormat="1" ht="25.5">
      <c r="B10" s="54">
        <v>5</v>
      </c>
      <c r="C10" s="61" t="s">
        <v>90</v>
      </c>
      <c r="D10" s="56" t="s">
        <v>91</v>
      </c>
      <c r="E10" s="57">
        <v>7275000</v>
      </c>
      <c r="F10" s="57"/>
      <c r="G10" s="57">
        <f t="shared" si="0"/>
        <v>7275000</v>
      </c>
      <c r="H10" s="57"/>
      <c r="I10" s="57"/>
      <c r="J10" s="57">
        <v>7275000</v>
      </c>
      <c r="K10" s="57"/>
      <c r="L10" s="57"/>
      <c r="M10" s="57"/>
      <c r="N10" s="57"/>
      <c r="O10" s="57">
        <f t="shared" si="1"/>
        <v>0</v>
      </c>
      <c r="Q10" s="58"/>
    </row>
    <row r="11" spans="2:17" s="44" customFormat="1" ht="25.5">
      <c r="B11" s="54">
        <v>6</v>
      </c>
      <c r="C11" s="62" t="s">
        <v>92</v>
      </c>
      <c r="D11" s="56" t="s">
        <v>93</v>
      </c>
      <c r="E11" s="57">
        <v>2000000</v>
      </c>
      <c r="F11" s="57"/>
      <c r="G11" s="57">
        <f t="shared" si="0"/>
        <v>1000000</v>
      </c>
      <c r="H11" s="57">
        <v>1000000</v>
      </c>
      <c r="I11" s="57"/>
      <c r="J11" s="57"/>
      <c r="K11" s="57"/>
      <c r="L11" s="57"/>
      <c r="M11" s="57"/>
      <c r="N11" s="57"/>
      <c r="O11" s="57">
        <f t="shared" si="1"/>
        <v>1000000</v>
      </c>
      <c r="Q11" s="58"/>
    </row>
    <row r="12" spans="2:17">
      <c r="B12" s="148" t="s">
        <v>21</v>
      </c>
      <c r="C12" s="149"/>
      <c r="D12" s="150"/>
      <c r="E12" s="63">
        <f>SUM(E6:E11)</f>
        <v>55488000</v>
      </c>
      <c r="F12" s="63">
        <f>SUM(F6:F8)</f>
        <v>3200000</v>
      </c>
      <c r="G12" s="63">
        <f>SUM(G6:G11)</f>
        <v>51288000</v>
      </c>
      <c r="H12" s="63">
        <f>SUM(H6:H11)</f>
        <v>1600000</v>
      </c>
      <c r="I12" s="63">
        <f>SUM(I6:I11)</f>
        <v>6060000</v>
      </c>
      <c r="J12" s="63">
        <f>SUM(J6:J11)</f>
        <v>18850000</v>
      </c>
      <c r="K12" s="63">
        <f>SUM(K6:K8)</f>
        <v>0</v>
      </c>
      <c r="L12" s="63">
        <f>SUM(L6:L8)</f>
        <v>10318000</v>
      </c>
      <c r="M12" s="63">
        <f>SUM(M6:M8)</f>
        <v>0</v>
      </c>
      <c r="N12" s="63">
        <f>SUM(N6:N8)</f>
        <v>0</v>
      </c>
      <c r="O12" s="63">
        <f>SUM(O6:O8)</f>
        <v>0</v>
      </c>
    </row>
    <row r="13" spans="2:17">
      <c r="B13" s="48"/>
      <c r="C13" s="48"/>
      <c r="D13" s="48"/>
      <c r="E13" s="49"/>
      <c r="F13" s="49"/>
      <c r="G13" s="49"/>
      <c r="H13" s="49"/>
      <c r="I13" s="63"/>
      <c r="J13" s="63"/>
      <c r="K13" s="49"/>
      <c r="L13" s="49"/>
      <c r="M13" s="49"/>
      <c r="N13" s="49"/>
      <c r="O13" s="49"/>
    </row>
    <row r="14" spans="2:17">
      <c r="B14" s="64" t="s">
        <v>94</v>
      </c>
      <c r="C14" s="64"/>
      <c r="D14" s="65"/>
      <c r="E14" s="66" t="s">
        <v>95</v>
      </c>
      <c r="F14" s="67"/>
      <c r="G14" s="68"/>
      <c r="H14" s="68"/>
      <c r="I14" s="67"/>
      <c r="J14" s="69"/>
      <c r="K14" s="69"/>
      <c r="L14" s="69"/>
      <c r="M14" s="69"/>
      <c r="N14" s="69"/>
      <c r="O14" s="69"/>
    </row>
    <row r="15" spans="2:17">
      <c r="B15" s="64" t="s">
        <v>96</v>
      </c>
      <c r="C15" s="64"/>
      <c r="D15" s="65"/>
      <c r="E15" s="66" t="s">
        <v>95</v>
      </c>
      <c r="F15" s="151">
        <f>G12</f>
        <v>51288000</v>
      </c>
      <c r="G15" s="151"/>
      <c r="H15" s="71">
        <f>F15-2383383600</f>
        <v>-2332095600</v>
      </c>
      <c r="I15" s="72"/>
      <c r="J15" s="73"/>
      <c r="K15" s="69"/>
      <c r="L15" s="69"/>
      <c r="M15" s="69"/>
      <c r="N15" s="69"/>
      <c r="O15" s="67"/>
    </row>
    <row r="16" spans="2:17">
      <c r="B16" s="64"/>
      <c r="C16" s="64"/>
      <c r="D16" s="65"/>
      <c r="E16" s="68"/>
      <c r="F16" s="70"/>
      <c r="G16" s="70"/>
      <c r="H16" s="70"/>
      <c r="I16" s="72"/>
      <c r="J16" s="73"/>
      <c r="K16" s="69"/>
      <c r="L16" s="69"/>
      <c r="M16" s="69"/>
      <c r="N16" s="69"/>
      <c r="O16" s="67"/>
    </row>
    <row r="17" spans="2:17">
      <c r="B17" s="65"/>
      <c r="C17" s="65"/>
      <c r="D17" s="65"/>
      <c r="E17" s="68"/>
      <c r="F17" s="74"/>
      <c r="G17" s="75"/>
      <c r="H17" s="75"/>
      <c r="I17" s="72"/>
      <c r="J17" s="73"/>
      <c r="L17" s="67" t="s">
        <v>97</v>
      </c>
      <c r="M17" s="69"/>
      <c r="N17" s="69"/>
      <c r="O17" s="49"/>
    </row>
    <row r="18" spans="2:17">
      <c r="B18" s="65" t="s">
        <v>98</v>
      </c>
      <c r="C18" s="65"/>
      <c r="D18" s="65"/>
      <c r="E18" s="68"/>
      <c r="F18" s="74"/>
      <c r="G18" s="75"/>
      <c r="H18" s="75"/>
      <c r="I18" s="72"/>
      <c r="J18" s="73"/>
      <c r="L18" s="67" t="s">
        <v>99</v>
      </c>
      <c r="M18" s="69"/>
      <c r="N18" s="69"/>
      <c r="O18" s="49"/>
    </row>
    <row r="19" spans="2:17">
      <c r="B19" s="65" t="s">
        <v>100</v>
      </c>
      <c r="C19" s="65"/>
      <c r="D19" s="65"/>
      <c r="E19" s="68"/>
      <c r="F19" s="74"/>
      <c r="G19" s="75"/>
      <c r="H19" s="75"/>
      <c r="I19" s="72"/>
      <c r="J19" s="73"/>
      <c r="L19" s="67" t="s">
        <v>100</v>
      </c>
      <c r="M19" s="69"/>
      <c r="N19" s="69"/>
      <c r="O19" s="49"/>
    </row>
    <row r="20" spans="2:17">
      <c r="B20" s="65"/>
      <c r="C20" s="65"/>
      <c r="D20" s="65"/>
      <c r="E20" s="68"/>
      <c r="F20" s="74"/>
      <c r="G20" s="75"/>
      <c r="H20" s="75"/>
      <c r="I20" s="72"/>
      <c r="J20" s="73"/>
      <c r="L20" s="67"/>
      <c r="M20" s="69"/>
      <c r="N20" s="69"/>
      <c r="O20" s="49"/>
    </row>
    <row r="21" spans="2:17">
      <c r="B21" s="65"/>
      <c r="C21" s="65"/>
      <c r="D21" s="65"/>
      <c r="E21" s="68"/>
      <c r="F21" s="74"/>
      <c r="G21" s="75"/>
      <c r="H21" s="75"/>
      <c r="I21" s="72"/>
      <c r="J21" s="73"/>
      <c r="L21" s="67"/>
      <c r="M21" s="69"/>
      <c r="N21" s="69"/>
      <c r="O21" s="49"/>
    </row>
    <row r="22" spans="2:17">
      <c r="B22" s="65"/>
      <c r="C22" s="65"/>
      <c r="D22" s="65"/>
      <c r="E22" s="68"/>
      <c r="F22" s="67"/>
      <c r="G22" s="68"/>
      <c r="H22" s="68"/>
      <c r="I22" s="76"/>
      <c r="J22" s="77"/>
      <c r="L22" s="67"/>
      <c r="M22" s="69"/>
      <c r="N22" s="69"/>
      <c r="O22" s="49"/>
      <c r="Q22" s="45"/>
    </row>
    <row r="23" spans="2:17">
      <c r="B23" s="78" t="s">
        <v>101</v>
      </c>
      <c r="C23" s="65"/>
      <c r="D23" s="65"/>
      <c r="E23" s="68"/>
      <c r="F23" s="67"/>
      <c r="G23" s="68"/>
      <c r="H23" s="68"/>
      <c r="I23" s="76"/>
      <c r="J23" s="77"/>
      <c r="L23" s="79" t="s">
        <v>102</v>
      </c>
      <c r="M23" s="69"/>
      <c r="N23" s="69"/>
      <c r="O23" s="49"/>
      <c r="Q23" s="45"/>
    </row>
    <row r="24" spans="2:17">
      <c r="B24" s="78" t="s">
        <v>103</v>
      </c>
      <c r="C24" s="65"/>
      <c r="D24" s="65"/>
      <c r="E24" s="68"/>
      <c r="F24" s="74"/>
      <c r="G24" s="75"/>
      <c r="H24" s="75"/>
      <c r="I24" s="72"/>
      <c r="J24" s="73"/>
      <c r="L24" s="79" t="s">
        <v>104</v>
      </c>
      <c r="M24" s="69"/>
      <c r="N24" s="69"/>
      <c r="O24" s="49"/>
      <c r="Q24" s="45"/>
    </row>
    <row r="27" spans="2:17">
      <c r="Q27" s="45"/>
    </row>
    <row r="28" spans="2:17">
      <c r="Q28" s="45"/>
    </row>
  </sheetData>
  <mergeCells count="9">
    <mergeCell ref="O4:O5"/>
    <mergeCell ref="H4:N4"/>
    <mergeCell ref="B12:D12"/>
    <mergeCell ref="F15:G15"/>
    <mergeCell ref="B4:B5"/>
    <mergeCell ref="C4:C5"/>
    <mergeCell ref="E4:E5"/>
    <mergeCell ref="F4:F5"/>
    <mergeCell ref="G4:G5"/>
  </mergeCells>
  <pageMargins left="0.25" right="0.25" top="0.75" bottom="0.75" header="0.3" footer="0.3"/>
  <pageSetup paperSize="9" scale="6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Views>
    <sheetView showWhiteSpace="0" view="pageLayout" topLeftCell="A31" zoomScale="130" zoomScaleNormal="100" zoomScalePageLayoutView="130" workbookViewId="0">
      <selection activeCell="B47" sqref="B47"/>
    </sheetView>
  </sheetViews>
  <sheetFormatPr defaultColWidth="9" defaultRowHeight="15"/>
  <cols>
    <col min="1" max="1" width="7.5703125" style="4" customWidth="1"/>
    <col min="2" max="2" width="42.140625" style="4" customWidth="1"/>
    <col min="3" max="3" width="19.5703125" style="5" customWidth="1"/>
    <col min="4" max="4" width="9.85546875" style="6" hidden="1" customWidth="1"/>
    <col min="5" max="5" width="16.28515625" style="6" customWidth="1"/>
    <col min="6" max="218" width="9.140625" style="4"/>
    <col min="219" max="219" width="5.7109375" style="4" customWidth="1"/>
    <col min="220" max="220" width="7.5703125" style="4" customWidth="1"/>
    <col min="221" max="221" width="39" style="4" customWidth="1"/>
    <col min="222" max="222" width="20.5703125" style="4" customWidth="1"/>
    <col min="223" max="223" width="5.7109375" style="4" customWidth="1"/>
    <col min="224" max="224" width="8.28515625" style="4" customWidth="1"/>
    <col min="225" max="225" width="9.140625" style="4" customWidth="1"/>
    <col min="226" max="226" width="10.7109375" style="4" customWidth="1"/>
    <col min="227" max="227" width="13.5703125" style="4" customWidth="1"/>
    <col min="228" max="474" width="9.140625" style="4"/>
    <col min="475" max="475" width="5.7109375" style="4" customWidth="1"/>
    <col min="476" max="476" width="7.5703125" style="4" customWidth="1"/>
    <col min="477" max="477" width="39" style="4" customWidth="1"/>
    <col min="478" max="478" width="20.5703125" style="4" customWidth="1"/>
    <col min="479" max="479" width="5.7109375" style="4" customWidth="1"/>
    <col min="480" max="480" width="8.28515625" style="4" customWidth="1"/>
    <col min="481" max="481" width="9.140625" style="4" customWidth="1"/>
    <col min="482" max="482" width="10.7109375" style="4" customWidth="1"/>
    <col min="483" max="483" width="13.5703125" style="4" customWidth="1"/>
    <col min="484" max="730" width="9.140625" style="4"/>
    <col min="731" max="731" width="5.7109375" style="4" customWidth="1"/>
    <col min="732" max="732" width="7.5703125" style="4" customWidth="1"/>
    <col min="733" max="733" width="39" style="4" customWidth="1"/>
    <col min="734" max="734" width="20.5703125" style="4" customWidth="1"/>
    <col min="735" max="735" width="5.7109375" style="4" customWidth="1"/>
    <col min="736" max="736" width="8.28515625" style="4" customWidth="1"/>
    <col min="737" max="737" width="9.140625" style="4" customWidth="1"/>
    <col min="738" max="738" width="10.7109375" style="4" customWidth="1"/>
    <col min="739" max="739" width="13.5703125" style="4" customWidth="1"/>
    <col min="740" max="986" width="9.140625" style="4"/>
    <col min="987" max="987" width="5.7109375" style="4" customWidth="1"/>
    <col min="988" max="988" width="7.5703125" style="4" customWidth="1"/>
    <col min="989" max="989" width="39" style="4" customWidth="1"/>
    <col min="990" max="990" width="20.5703125" style="4" customWidth="1"/>
    <col min="991" max="991" width="5.7109375" style="4" customWidth="1"/>
    <col min="992" max="992" width="8.28515625" style="4" customWidth="1"/>
    <col min="993" max="993" width="9.140625" style="4" customWidth="1"/>
    <col min="994" max="994" width="10.7109375" style="4" customWidth="1"/>
    <col min="995" max="995" width="13.5703125" style="4" customWidth="1"/>
    <col min="996" max="1242" width="9.140625" style="4"/>
    <col min="1243" max="1243" width="5.7109375" style="4" customWidth="1"/>
    <col min="1244" max="1244" width="7.5703125" style="4" customWidth="1"/>
    <col min="1245" max="1245" width="39" style="4" customWidth="1"/>
    <col min="1246" max="1246" width="20.5703125" style="4" customWidth="1"/>
    <col min="1247" max="1247" width="5.7109375" style="4" customWidth="1"/>
    <col min="1248" max="1248" width="8.28515625" style="4" customWidth="1"/>
    <col min="1249" max="1249" width="9.140625" style="4" customWidth="1"/>
    <col min="1250" max="1250" width="10.7109375" style="4" customWidth="1"/>
    <col min="1251" max="1251" width="13.5703125" style="4" customWidth="1"/>
    <col min="1252" max="1498" width="9.140625" style="4"/>
    <col min="1499" max="1499" width="5.7109375" style="4" customWidth="1"/>
    <col min="1500" max="1500" width="7.5703125" style="4" customWidth="1"/>
    <col min="1501" max="1501" width="39" style="4" customWidth="1"/>
    <col min="1502" max="1502" width="20.5703125" style="4" customWidth="1"/>
    <col min="1503" max="1503" width="5.7109375" style="4" customWidth="1"/>
    <col min="1504" max="1504" width="8.28515625" style="4" customWidth="1"/>
    <col min="1505" max="1505" width="9.140625" style="4" customWidth="1"/>
    <col min="1506" max="1506" width="10.7109375" style="4" customWidth="1"/>
    <col min="1507" max="1507" width="13.5703125" style="4" customWidth="1"/>
    <col min="1508" max="1754" width="9.140625" style="4"/>
    <col min="1755" max="1755" width="5.7109375" style="4" customWidth="1"/>
    <col min="1756" max="1756" width="7.5703125" style="4" customWidth="1"/>
    <col min="1757" max="1757" width="39" style="4" customWidth="1"/>
    <col min="1758" max="1758" width="20.5703125" style="4" customWidth="1"/>
    <col min="1759" max="1759" width="5.7109375" style="4" customWidth="1"/>
    <col min="1760" max="1760" width="8.28515625" style="4" customWidth="1"/>
    <col min="1761" max="1761" width="9.140625" style="4" customWidth="1"/>
    <col min="1762" max="1762" width="10.7109375" style="4" customWidth="1"/>
    <col min="1763" max="1763" width="13.5703125" style="4" customWidth="1"/>
    <col min="1764" max="2010" width="9.140625" style="4"/>
    <col min="2011" max="2011" width="5.7109375" style="4" customWidth="1"/>
    <col min="2012" max="2012" width="7.5703125" style="4" customWidth="1"/>
    <col min="2013" max="2013" width="39" style="4" customWidth="1"/>
    <col min="2014" max="2014" width="20.5703125" style="4" customWidth="1"/>
    <col min="2015" max="2015" width="5.7109375" style="4" customWidth="1"/>
    <col min="2016" max="2016" width="8.28515625" style="4" customWidth="1"/>
    <col min="2017" max="2017" width="9.140625" style="4" customWidth="1"/>
    <col min="2018" max="2018" width="10.7109375" style="4" customWidth="1"/>
    <col min="2019" max="2019" width="13.5703125" style="4" customWidth="1"/>
    <col min="2020" max="2266" width="9.140625" style="4"/>
    <col min="2267" max="2267" width="5.7109375" style="4" customWidth="1"/>
    <col min="2268" max="2268" width="7.5703125" style="4" customWidth="1"/>
    <col min="2269" max="2269" width="39" style="4" customWidth="1"/>
    <col min="2270" max="2270" width="20.5703125" style="4" customWidth="1"/>
    <col min="2271" max="2271" width="5.7109375" style="4" customWidth="1"/>
    <col min="2272" max="2272" width="8.28515625" style="4" customWidth="1"/>
    <col min="2273" max="2273" width="9.140625" style="4" customWidth="1"/>
    <col min="2274" max="2274" width="10.7109375" style="4" customWidth="1"/>
    <col min="2275" max="2275" width="13.5703125" style="4" customWidth="1"/>
    <col min="2276" max="2522" width="9.140625" style="4"/>
    <col min="2523" max="2523" width="5.7109375" style="4" customWidth="1"/>
    <col min="2524" max="2524" width="7.5703125" style="4" customWidth="1"/>
    <col min="2525" max="2525" width="39" style="4" customWidth="1"/>
    <col min="2526" max="2526" width="20.5703125" style="4" customWidth="1"/>
    <col min="2527" max="2527" width="5.7109375" style="4" customWidth="1"/>
    <col min="2528" max="2528" width="8.28515625" style="4" customWidth="1"/>
    <col min="2529" max="2529" width="9.140625" style="4" customWidth="1"/>
    <col min="2530" max="2530" width="10.7109375" style="4" customWidth="1"/>
    <col min="2531" max="2531" width="13.5703125" style="4" customWidth="1"/>
    <col min="2532" max="2778" width="9.140625" style="4"/>
    <col min="2779" max="2779" width="5.7109375" style="4" customWidth="1"/>
    <col min="2780" max="2780" width="7.5703125" style="4" customWidth="1"/>
    <col min="2781" max="2781" width="39" style="4" customWidth="1"/>
    <col min="2782" max="2782" width="20.5703125" style="4" customWidth="1"/>
    <col min="2783" max="2783" width="5.7109375" style="4" customWidth="1"/>
    <col min="2784" max="2784" width="8.28515625" style="4" customWidth="1"/>
    <col min="2785" max="2785" width="9.140625" style="4" customWidth="1"/>
    <col min="2786" max="2786" width="10.7109375" style="4" customWidth="1"/>
    <col min="2787" max="2787" width="13.5703125" style="4" customWidth="1"/>
    <col min="2788" max="3034" width="9.140625" style="4"/>
    <col min="3035" max="3035" width="5.7109375" style="4" customWidth="1"/>
    <col min="3036" max="3036" width="7.5703125" style="4" customWidth="1"/>
    <col min="3037" max="3037" width="39" style="4" customWidth="1"/>
    <col min="3038" max="3038" width="20.5703125" style="4" customWidth="1"/>
    <col min="3039" max="3039" width="5.7109375" style="4" customWidth="1"/>
    <col min="3040" max="3040" width="8.28515625" style="4" customWidth="1"/>
    <col min="3041" max="3041" width="9.140625" style="4" customWidth="1"/>
    <col min="3042" max="3042" width="10.7109375" style="4" customWidth="1"/>
    <col min="3043" max="3043" width="13.5703125" style="4" customWidth="1"/>
    <col min="3044" max="3290" width="9.140625" style="4"/>
    <col min="3291" max="3291" width="5.7109375" style="4" customWidth="1"/>
    <col min="3292" max="3292" width="7.5703125" style="4" customWidth="1"/>
    <col min="3293" max="3293" width="39" style="4" customWidth="1"/>
    <col min="3294" max="3294" width="20.5703125" style="4" customWidth="1"/>
    <col min="3295" max="3295" width="5.7109375" style="4" customWidth="1"/>
    <col min="3296" max="3296" width="8.28515625" style="4" customWidth="1"/>
    <col min="3297" max="3297" width="9.140625" style="4" customWidth="1"/>
    <col min="3298" max="3298" width="10.7109375" style="4" customWidth="1"/>
    <col min="3299" max="3299" width="13.5703125" style="4" customWidth="1"/>
    <col min="3300" max="3546" width="9.140625" style="4"/>
    <col min="3547" max="3547" width="5.7109375" style="4" customWidth="1"/>
    <col min="3548" max="3548" width="7.5703125" style="4" customWidth="1"/>
    <col min="3549" max="3549" width="39" style="4" customWidth="1"/>
    <col min="3550" max="3550" width="20.5703125" style="4" customWidth="1"/>
    <col min="3551" max="3551" width="5.7109375" style="4" customWidth="1"/>
    <col min="3552" max="3552" width="8.28515625" style="4" customWidth="1"/>
    <col min="3553" max="3553" width="9.140625" style="4" customWidth="1"/>
    <col min="3554" max="3554" width="10.7109375" style="4" customWidth="1"/>
    <col min="3555" max="3555" width="13.5703125" style="4" customWidth="1"/>
    <col min="3556" max="3802" width="9.140625" style="4"/>
    <col min="3803" max="3803" width="5.7109375" style="4" customWidth="1"/>
    <col min="3804" max="3804" width="7.5703125" style="4" customWidth="1"/>
    <col min="3805" max="3805" width="39" style="4" customWidth="1"/>
    <col min="3806" max="3806" width="20.5703125" style="4" customWidth="1"/>
    <col min="3807" max="3807" width="5.7109375" style="4" customWidth="1"/>
    <col min="3808" max="3808" width="8.28515625" style="4" customWidth="1"/>
    <col min="3809" max="3809" width="9.140625" style="4" customWidth="1"/>
    <col min="3810" max="3810" width="10.7109375" style="4" customWidth="1"/>
    <col min="3811" max="3811" width="13.5703125" style="4" customWidth="1"/>
    <col min="3812" max="4058" width="9.140625" style="4"/>
    <col min="4059" max="4059" width="5.7109375" style="4" customWidth="1"/>
    <col min="4060" max="4060" width="7.5703125" style="4" customWidth="1"/>
    <col min="4061" max="4061" width="39" style="4" customWidth="1"/>
    <col min="4062" max="4062" width="20.5703125" style="4" customWidth="1"/>
    <col min="4063" max="4063" width="5.7109375" style="4" customWidth="1"/>
    <col min="4064" max="4064" width="8.28515625" style="4" customWidth="1"/>
    <col min="4065" max="4065" width="9.140625" style="4" customWidth="1"/>
    <col min="4066" max="4066" width="10.7109375" style="4" customWidth="1"/>
    <col min="4067" max="4067" width="13.5703125" style="4" customWidth="1"/>
    <col min="4068" max="4314" width="9.140625" style="4"/>
    <col min="4315" max="4315" width="5.7109375" style="4" customWidth="1"/>
    <col min="4316" max="4316" width="7.5703125" style="4" customWidth="1"/>
    <col min="4317" max="4317" width="39" style="4" customWidth="1"/>
    <col min="4318" max="4318" width="20.5703125" style="4" customWidth="1"/>
    <col min="4319" max="4319" width="5.7109375" style="4" customWidth="1"/>
    <col min="4320" max="4320" width="8.28515625" style="4" customWidth="1"/>
    <col min="4321" max="4321" width="9.140625" style="4" customWidth="1"/>
    <col min="4322" max="4322" width="10.7109375" style="4" customWidth="1"/>
    <col min="4323" max="4323" width="13.5703125" style="4" customWidth="1"/>
    <col min="4324" max="4570" width="9.140625" style="4"/>
    <col min="4571" max="4571" width="5.7109375" style="4" customWidth="1"/>
    <col min="4572" max="4572" width="7.5703125" style="4" customWidth="1"/>
    <col min="4573" max="4573" width="39" style="4" customWidth="1"/>
    <col min="4574" max="4574" width="20.5703125" style="4" customWidth="1"/>
    <col min="4575" max="4575" width="5.7109375" style="4" customWidth="1"/>
    <col min="4576" max="4576" width="8.28515625" style="4" customWidth="1"/>
    <col min="4577" max="4577" width="9.140625" style="4" customWidth="1"/>
    <col min="4578" max="4578" width="10.7109375" style="4" customWidth="1"/>
    <col min="4579" max="4579" width="13.5703125" style="4" customWidth="1"/>
    <col min="4580" max="4826" width="9.140625" style="4"/>
    <col min="4827" max="4827" width="5.7109375" style="4" customWidth="1"/>
    <col min="4828" max="4828" width="7.5703125" style="4" customWidth="1"/>
    <col min="4829" max="4829" width="39" style="4" customWidth="1"/>
    <col min="4830" max="4830" width="20.5703125" style="4" customWidth="1"/>
    <col min="4831" max="4831" width="5.7109375" style="4" customWidth="1"/>
    <col min="4832" max="4832" width="8.28515625" style="4" customWidth="1"/>
    <col min="4833" max="4833" width="9.140625" style="4" customWidth="1"/>
    <col min="4834" max="4834" width="10.7109375" style="4" customWidth="1"/>
    <col min="4835" max="4835" width="13.5703125" style="4" customWidth="1"/>
    <col min="4836" max="5082" width="9.140625" style="4"/>
    <col min="5083" max="5083" width="5.7109375" style="4" customWidth="1"/>
    <col min="5084" max="5084" width="7.5703125" style="4" customWidth="1"/>
    <col min="5085" max="5085" width="39" style="4" customWidth="1"/>
    <col min="5086" max="5086" width="20.5703125" style="4" customWidth="1"/>
    <col min="5087" max="5087" width="5.7109375" style="4" customWidth="1"/>
    <col min="5088" max="5088" width="8.28515625" style="4" customWidth="1"/>
    <col min="5089" max="5089" width="9.140625" style="4" customWidth="1"/>
    <col min="5090" max="5090" width="10.7109375" style="4" customWidth="1"/>
    <col min="5091" max="5091" width="13.5703125" style="4" customWidth="1"/>
    <col min="5092" max="5338" width="9.140625" style="4"/>
    <col min="5339" max="5339" width="5.7109375" style="4" customWidth="1"/>
    <col min="5340" max="5340" width="7.5703125" style="4" customWidth="1"/>
    <col min="5341" max="5341" width="39" style="4" customWidth="1"/>
    <col min="5342" max="5342" width="20.5703125" style="4" customWidth="1"/>
    <col min="5343" max="5343" width="5.7109375" style="4" customWidth="1"/>
    <col min="5344" max="5344" width="8.28515625" style="4" customWidth="1"/>
    <col min="5345" max="5345" width="9.140625" style="4" customWidth="1"/>
    <col min="5346" max="5346" width="10.7109375" style="4" customWidth="1"/>
    <col min="5347" max="5347" width="13.5703125" style="4" customWidth="1"/>
    <col min="5348" max="5594" width="9.140625" style="4"/>
    <col min="5595" max="5595" width="5.7109375" style="4" customWidth="1"/>
    <col min="5596" max="5596" width="7.5703125" style="4" customWidth="1"/>
    <col min="5597" max="5597" width="39" style="4" customWidth="1"/>
    <col min="5598" max="5598" width="20.5703125" style="4" customWidth="1"/>
    <col min="5599" max="5599" width="5.7109375" style="4" customWidth="1"/>
    <col min="5600" max="5600" width="8.28515625" style="4" customWidth="1"/>
    <col min="5601" max="5601" width="9.140625" style="4" customWidth="1"/>
    <col min="5602" max="5602" width="10.7109375" style="4" customWidth="1"/>
    <col min="5603" max="5603" width="13.5703125" style="4" customWidth="1"/>
    <col min="5604" max="5850" width="9.140625" style="4"/>
    <col min="5851" max="5851" width="5.7109375" style="4" customWidth="1"/>
    <col min="5852" max="5852" width="7.5703125" style="4" customWidth="1"/>
    <col min="5853" max="5853" width="39" style="4" customWidth="1"/>
    <col min="5854" max="5854" width="20.5703125" style="4" customWidth="1"/>
    <col min="5855" max="5855" width="5.7109375" style="4" customWidth="1"/>
    <col min="5856" max="5856" width="8.28515625" style="4" customWidth="1"/>
    <col min="5857" max="5857" width="9.140625" style="4" customWidth="1"/>
    <col min="5858" max="5858" width="10.7109375" style="4" customWidth="1"/>
    <col min="5859" max="5859" width="13.5703125" style="4" customWidth="1"/>
    <col min="5860" max="6106" width="9.140625" style="4"/>
    <col min="6107" max="6107" width="5.7109375" style="4" customWidth="1"/>
    <col min="6108" max="6108" width="7.5703125" style="4" customWidth="1"/>
    <col min="6109" max="6109" width="39" style="4" customWidth="1"/>
    <col min="6110" max="6110" width="20.5703125" style="4" customWidth="1"/>
    <col min="6111" max="6111" width="5.7109375" style="4" customWidth="1"/>
    <col min="6112" max="6112" width="8.28515625" style="4" customWidth="1"/>
    <col min="6113" max="6113" width="9.140625" style="4" customWidth="1"/>
    <col min="6114" max="6114" width="10.7109375" style="4" customWidth="1"/>
    <col min="6115" max="6115" width="13.5703125" style="4" customWidth="1"/>
    <col min="6116" max="6362" width="9.140625" style="4"/>
    <col min="6363" max="6363" width="5.7109375" style="4" customWidth="1"/>
    <col min="6364" max="6364" width="7.5703125" style="4" customWidth="1"/>
    <col min="6365" max="6365" width="39" style="4" customWidth="1"/>
    <col min="6366" max="6366" width="20.5703125" style="4" customWidth="1"/>
    <col min="6367" max="6367" width="5.7109375" style="4" customWidth="1"/>
    <col min="6368" max="6368" width="8.28515625" style="4" customWidth="1"/>
    <col min="6369" max="6369" width="9.140625" style="4" customWidth="1"/>
    <col min="6370" max="6370" width="10.7109375" style="4" customWidth="1"/>
    <col min="6371" max="6371" width="13.5703125" style="4" customWidth="1"/>
    <col min="6372" max="6618" width="9.140625" style="4"/>
    <col min="6619" max="6619" width="5.7109375" style="4" customWidth="1"/>
    <col min="6620" max="6620" width="7.5703125" style="4" customWidth="1"/>
    <col min="6621" max="6621" width="39" style="4" customWidth="1"/>
    <col min="6622" max="6622" width="20.5703125" style="4" customWidth="1"/>
    <col min="6623" max="6623" width="5.7109375" style="4" customWidth="1"/>
    <col min="6624" max="6624" width="8.28515625" style="4" customWidth="1"/>
    <col min="6625" max="6625" width="9.140625" style="4" customWidth="1"/>
    <col min="6626" max="6626" width="10.7109375" style="4" customWidth="1"/>
    <col min="6627" max="6627" width="13.5703125" style="4" customWidth="1"/>
    <col min="6628" max="6874" width="9.140625" style="4"/>
    <col min="6875" max="6875" width="5.7109375" style="4" customWidth="1"/>
    <col min="6876" max="6876" width="7.5703125" style="4" customWidth="1"/>
    <col min="6877" max="6877" width="39" style="4" customWidth="1"/>
    <col min="6878" max="6878" width="20.5703125" style="4" customWidth="1"/>
    <col min="6879" max="6879" width="5.7109375" style="4" customWidth="1"/>
    <col min="6880" max="6880" width="8.28515625" style="4" customWidth="1"/>
    <col min="6881" max="6881" width="9.140625" style="4" customWidth="1"/>
    <col min="6882" max="6882" width="10.7109375" style="4" customWidth="1"/>
    <col min="6883" max="6883" width="13.5703125" style="4" customWidth="1"/>
    <col min="6884" max="7130" width="9.140625" style="4"/>
    <col min="7131" max="7131" width="5.7109375" style="4" customWidth="1"/>
    <col min="7132" max="7132" width="7.5703125" style="4" customWidth="1"/>
    <col min="7133" max="7133" width="39" style="4" customWidth="1"/>
    <col min="7134" max="7134" width="20.5703125" style="4" customWidth="1"/>
    <col min="7135" max="7135" width="5.7109375" style="4" customWidth="1"/>
    <col min="7136" max="7136" width="8.28515625" style="4" customWidth="1"/>
    <col min="7137" max="7137" width="9.140625" style="4" customWidth="1"/>
    <col min="7138" max="7138" width="10.7109375" style="4" customWidth="1"/>
    <col min="7139" max="7139" width="13.5703125" style="4" customWidth="1"/>
    <col min="7140" max="7386" width="9.140625" style="4"/>
    <col min="7387" max="7387" width="5.7109375" style="4" customWidth="1"/>
    <col min="7388" max="7388" width="7.5703125" style="4" customWidth="1"/>
    <col min="7389" max="7389" width="39" style="4" customWidth="1"/>
    <col min="7390" max="7390" width="20.5703125" style="4" customWidth="1"/>
    <col min="7391" max="7391" width="5.7109375" style="4" customWidth="1"/>
    <col min="7392" max="7392" width="8.28515625" style="4" customWidth="1"/>
    <col min="7393" max="7393" width="9.140625" style="4" customWidth="1"/>
    <col min="7394" max="7394" width="10.7109375" style="4" customWidth="1"/>
    <col min="7395" max="7395" width="13.5703125" style="4" customWidth="1"/>
    <col min="7396" max="7642" width="9.140625" style="4"/>
    <col min="7643" max="7643" width="5.7109375" style="4" customWidth="1"/>
    <col min="7644" max="7644" width="7.5703125" style="4" customWidth="1"/>
    <col min="7645" max="7645" width="39" style="4" customWidth="1"/>
    <col min="7646" max="7646" width="20.5703125" style="4" customWidth="1"/>
    <col min="7647" max="7647" width="5.7109375" style="4" customWidth="1"/>
    <col min="7648" max="7648" width="8.28515625" style="4" customWidth="1"/>
    <col min="7649" max="7649" width="9.140625" style="4" customWidth="1"/>
    <col min="7650" max="7650" width="10.7109375" style="4" customWidth="1"/>
    <col min="7651" max="7651" width="13.5703125" style="4" customWidth="1"/>
    <col min="7652" max="7898" width="9.140625" style="4"/>
    <col min="7899" max="7899" width="5.7109375" style="4" customWidth="1"/>
    <col min="7900" max="7900" width="7.5703125" style="4" customWidth="1"/>
    <col min="7901" max="7901" width="39" style="4" customWidth="1"/>
    <col min="7902" max="7902" width="20.5703125" style="4" customWidth="1"/>
    <col min="7903" max="7903" width="5.7109375" style="4" customWidth="1"/>
    <col min="7904" max="7904" width="8.28515625" style="4" customWidth="1"/>
    <col min="7905" max="7905" width="9.140625" style="4" customWidth="1"/>
    <col min="7906" max="7906" width="10.7109375" style="4" customWidth="1"/>
    <col min="7907" max="7907" width="13.5703125" style="4" customWidth="1"/>
    <col min="7908" max="8154" width="9.140625" style="4"/>
    <col min="8155" max="8155" width="5.7109375" style="4" customWidth="1"/>
    <col min="8156" max="8156" width="7.5703125" style="4" customWidth="1"/>
    <col min="8157" max="8157" width="39" style="4" customWidth="1"/>
    <col min="8158" max="8158" width="20.5703125" style="4" customWidth="1"/>
    <col min="8159" max="8159" width="5.7109375" style="4" customWidth="1"/>
    <col min="8160" max="8160" width="8.28515625" style="4" customWidth="1"/>
    <col min="8161" max="8161" width="9.140625" style="4" customWidth="1"/>
    <col min="8162" max="8162" width="10.7109375" style="4" customWidth="1"/>
    <col min="8163" max="8163" width="13.5703125" style="4" customWidth="1"/>
    <col min="8164" max="8410" width="9.140625" style="4"/>
    <col min="8411" max="8411" width="5.7109375" style="4" customWidth="1"/>
    <col min="8412" max="8412" width="7.5703125" style="4" customWidth="1"/>
    <col min="8413" max="8413" width="39" style="4" customWidth="1"/>
    <col min="8414" max="8414" width="20.5703125" style="4" customWidth="1"/>
    <col min="8415" max="8415" width="5.7109375" style="4" customWidth="1"/>
    <col min="8416" max="8416" width="8.28515625" style="4" customWidth="1"/>
    <col min="8417" max="8417" width="9.140625" style="4" customWidth="1"/>
    <col min="8418" max="8418" width="10.7109375" style="4" customWidth="1"/>
    <col min="8419" max="8419" width="13.5703125" style="4" customWidth="1"/>
    <col min="8420" max="8666" width="9.140625" style="4"/>
    <col min="8667" max="8667" width="5.7109375" style="4" customWidth="1"/>
    <col min="8668" max="8668" width="7.5703125" style="4" customWidth="1"/>
    <col min="8669" max="8669" width="39" style="4" customWidth="1"/>
    <col min="8670" max="8670" width="20.5703125" style="4" customWidth="1"/>
    <col min="8671" max="8671" width="5.7109375" style="4" customWidth="1"/>
    <col min="8672" max="8672" width="8.28515625" style="4" customWidth="1"/>
    <col min="8673" max="8673" width="9.140625" style="4" customWidth="1"/>
    <col min="8674" max="8674" width="10.7109375" style="4" customWidth="1"/>
    <col min="8675" max="8675" width="13.5703125" style="4" customWidth="1"/>
    <col min="8676" max="8922" width="9.140625" style="4"/>
    <col min="8923" max="8923" width="5.7109375" style="4" customWidth="1"/>
    <col min="8924" max="8924" width="7.5703125" style="4" customWidth="1"/>
    <col min="8925" max="8925" width="39" style="4" customWidth="1"/>
    <col min="8926" max="8926" width="20.5703125" style="4" customWidth="1"/>
    <col min="8927" max="8927" width="5.7109375" style="4" customWidth="1"/>
    <col min="8928" max="8928" width="8.28515625" style="4" customWidth="1"/>
    <col min="8929" max="8929" width="9.140625" style="4" customWidth="1"/>
    <col min="8930" max="8930" width="10.7109375" style="4" customWidth="1"/>
    <col min="8931" max="8931" width="13.5703125" style="4" customWidth="1"/>
    <col min="8932" max="9178" width="9.140625" style="4"/>
    <col min="9179" max="9179" width="5.7109375" style="4" customWidth="1"/>
    <col min="9180" max="9180" width="7.5703125" style="4" customWidth="1"/>
    <col min="9181" max="9181" width="39" style="4" customWidth="1"/>
    <col min="9182" max="9182" width="20.5703125" style="4" customWidth="1"/>
    <col min="9183" max="9183" width="5.7109375" style="4" customWidth="1"/>
    <col min="9184" max="9184" width="8.28515625" style="4" customWidth="1"/>
    <col min="9185" max="9185" width="9.140625" style="4" customWidth="1"/>
    <col min="9186" max="9186" width="10.7109375" style="4" customWidth="1"/>
    <col min="9187" max="9187" width="13.5703125" style="4" customWidth="1"/>
    <col min="9188" max="9434" width="9.140625" style="4"/>
    <col min="9435" max="9435" width="5.7109375" style="4" customWidth="1"/>
    <col min="9436" max="9436" width="7.5703125" style="4" customWidth="1"/>
    <col min="9437" max="9437" width="39" style="4" customWidth="1"/>
    <col min="9438" max="9438" width="20.5703125" style="4" customWidth="1"/>
    <col min="9439" max="9439" width="5.7109375" style="4" customWidth="1"/>
    <col min="9440" max="9440" width="8.28515625" style="4" customWidth="1"/>
    <col min="9441" max="9441" width="9.140625" style="4" customWidth="1"/>
    <col min="9442" max="9442" width="10.7109375" style="4" customWidth="1"/>
    <col min="9443" max="9443" width="13.5703125" style="4" customWidth="1"/>
    <col min="9444" max="9690" width="9.140625" style="4"/>
    <col min="9691" max="9691" width="5.7109375" style="4" customWidth="1"/>
    <col min="9692" max="9692" width="7.5703125" style="4" customWidth="1"/>
    <col min="9693" max="9693" width="39" style="4" customWidth="1"/>
    <col min="9694" max="9694" width="20.5703125" style="4" customWidth="1"/>
    <col min="9695" max="9695" width="5.7109375" style="4" customWidth="1"/>
    <col min="9696" max="9696" width="8.28515625" style="4" customWidth="1"/>
    <col min="9697" max="9697" width="9.140625" style="4" customWidth="1"/>
    <col min="9698" max="9698" width="10.7109375" style="4" customWidth="1"/>
    <col min="9699" max="9699" width="13.5703125" style="4" customWidth="1"/>
    <col min="9700" max="9946" width="9.140625" style="4"/>
    <col min="9947" max="9947" width="5.7109375" style="4" customWidth="1"/>
    <col min="9948" max="9948" width="7.5703125" style="4" customWidth="1"/>
    <col min="9949" max="9949" width="39" style="4" customWidth="1"/>
    <col min="9950" max="9950" width="20.5703125" style="4" customWidth="1"/>
    <col min="9951" max="9951" width="5.7109375" style="4" customWidth="1"/>
    <col min="9952" max="9952" width="8.28515625" style="4" customWidth="1"/>
    <col min="9953" max="9953" width="9.140625" style="4" customWidth="1"/>
    <col min="9954" max="9954" width="10.7109375" style="4" customWidth="1"/>
    <col min="9955" max="9955" width="13.5703125" style="4" customWidth="1"/>
    <col min="9956" max="10202" width="9.140625" style="4"/>
    <col min="10203" max="10203" width="5.7109375" style="4" customWidth="1"/>
    <col min="10204" max="10204" width="7.5703125" style="4" customWidth="1"/>
    <col min="10205" max="10205" width="39" style="4" customWidth="1"/>
    <col min="10206" max="10206" width="20.5703125" style="4" customWidth="1"/>
    <col min="10207" max="10207" width="5.7109375" style="4" customWidth="1"/>
    <col min="10208" max="10208" width="8.28515625" style="4" customWidth="1"/>
    <col min="10209" max="10209" width="9.140625" style="4" customWidth="1"/>
    <col min="10210" max="10210" width="10.7109375" style="4" customWidth="1"/>
    <col min="10211" max="10211" width="13.5703125" style="4" customWidth="1"/>
    <col min="10212" max="10458" width="9.140625" style="4"/>
    <col min="10459" max="10459" width="5.7109375" style="4" customWidth="1"/>
    <col min="10460" max="10460" width="7.5703125" style="4" customWidth="1"/>
    <col min="10461" max="10461" width="39" style="4" customWidth="1"/>
    <col min="10462" max="10462" width="20.5703125" style="4" customWidth="1"/>
    <col min="10463" max="10463" width="5.7109375" style="4" customWidth="1"/>
    <col min="10464" max="10464" width="8.28515625" style="4" customWidth="1"/>
    <col min="10465" max="10465" width="9.140625" style="4" customWidth="1"/>
    <col min="10466" max="10466" width="10.7109375" style="4" customWidth="1"/>
    <col min="10467" max="10467" width="13.5703125" style="4" customWidth="1"/>
    <col min="10468" max="10714" width="9.140625" style="4"/>
    <col min="10715" max="10715" width="5.7109375" style="4" customWidth="1"/>
    <col min="10716" max="10716" width="7.5703125" style="4" customWidth="1"/>
    <col min="10717" max="10717" width="39" style="4" customWidth="1"/>
    <col min="10718" max="10718" width="20.5703125" style="4" customWidth="1"/>
    <col min="10719" max="10719" width="5.7109375" style="4" customWidth="1"/>
    <col min="10720" max="10720" width="8.28515625" style="4" customWidth="1"/>
    <col min="10721" max="10721" width="9.140625" style="4" customWidth="1"/>
    <col min="10722" max="10722" width="10.7109375" style="4" customWidth="1"/>
    <col min="10723" max="10723" width="13.5703125" style="4" customWidth="1"/>
    <col min="10724" max="10970" width="9.140625" style="4"/>
    <col min="10971" max="10971" width="5.7109375" style="4" customWidth="1"/>
    <col min="10972" max="10972" width="7.5703125" style="4" customWidth="1"/>
    <col min="10973" max="10973" width="39" style="4" customWidth="1"/>
    <col min="10974" max="10974" width="20.5703125" style="4" customWidth="1"/>
    <col min="10975" max="10975" width="5.7109375" style="4" customWidth="1"/>
    <col min="10976" max="10976" width="8.28515625" style="4" customWidth="1"/>
    <col min="10977" max="10977" width="9.140625" style="4" customWidth="1"/>
    <col min="10978" max="10978" width="10.7109375" style="4" customWidth="1"/>
    <col min="10979" max="10979" width="13.5703125" style="4" customWidth="1"/>
    <col min="10980" max="11226" width="9.140625" style="4"/>
    <col min="11227" max="11227" width="5.7109375" style="4" customWidth="1"/>
    <col min="11228" max="11228" width="7.5703125" style="4" customWidth="1"/>
    <col min="11229" max="11229" width="39" style="4" customWidth="1"/>
    <col min="11230" max="11230" width="20.5703125" style="4" customWidth="1"/>
    <col min="11231" max="11231" width="5.7109375" style="4" customWidth="1"/>
    <col min="11232" max="11232" width="8.28515625" style="4" customWidth="1"/>
    <col min="11233" max="11233" width="9.140625" style="4" customWidth="1"/>
    <col min="11234" max="11234" width="10.7109375" style="4" customWidth="1"/>
    <col min="11235" max="11235" width="13.5703125" style="4" customWidth="1"/>
    <col min="11236" max="11482" width="9.140625" style="4"/>
    <col min="11483" max="11483" width="5.7109375" style="4" customWidth="1"/>
    <col min="11484" max="11484" width="7.5703125" style="4" customWidth="1"/>
    <col min="11485" max="11485" width="39" style="4" customWidth="1"/>
    <col min="11486" max="11486" width="20.5703125" style="4" customWidth="1"/>
    <col min="11487" max="11487" width="5.7109375" style="4" customWidth="1"/>
    <col min="11488" max="11488" width="8.28515625" style="4" customWidth="1"/>
    <col min="11489" max="11489" width="9.140625" style="4" customWidth="1"/>
    <col min="11490" max="11490" width="10.7109375" style="4" customWidth="1"/>
    <col min="11491" max="11491" width="13.5703125" style="4" customWidth="1"/>
    <col min="11492" max="11738" width="9.140625" style="4"/>
    <col min="11739" max="11739" width="5.7109375" style="4" customWidth="1"/>
    <col min="11740" max="11740" width="7.5703125" style="4" customWidth="1"/>
    <col min="11741" max="11741" width="39" style="4" customWidth="1"/>
    <col min="11742" max="11742" width="20.5703125" style="4" customWidth="1"/>
    <col min="11743" max="11743" width="5.7109375" style="4" customWidth="1"/>
    <col min="11744" max="11744" width="8.28515625" style="4" customWidth="1"/>
    <col min="11745" max="11745" width="9.140625" style="4" customWidth="1"/>
    <col min="11746" max="11746" width="10.7109375" style="4" customWidth="1"/>
    <col min="11747" max="11747" width="13.5703125" style="4" customWidth="1"/>
    <col min="11748" max="11994" width="9.140625" style="4"/>
    <col min="11995" max="11995" width="5.7109375" style="4" customWidth="1"/>
    <col min="11996" max="11996" width="7.5703125" style="4" customWidth="1"/>
    <col min="11997" max="11997" width="39" style="4" customWidth="1"/>
    <col min="11998" max="11998" width="20.5703125" style="4" customWidth="1"/>
    <col min="11999" max="11999" width="5.7109375" style="4" customWidth="1"/>
    <col min="12000" max="12000" width="8.28515625" style="4" customWidth="1"/>
    <col min="12001" max="12001" width="9.140625" style="4" customWidth="1"/>
    <col min="12002" max="12002" width="10.7109375" style="4" customWidth="1"/>
    <col min="12003" max="12003" width="13.5703125" style="4" customWidth="1"/>
    <col min="12004" max="12250" width="9.140625" style="4"/>
    <col min="12251" max="12251" width="5.7109375" style="4" customWidth="1"/>
    <col min="12252" max="12252" width="7.5703125" style="4" customWidth="1"/>
    <col min="12253" max="12253" width="39" style="4" customWidth="1"/>
    <col min="12254" max="12254" width="20.5703125" style="4" customWidth="1"/>
    <col min="12255" max="12255" width="5.7109375" style="4" customWidth="1"/>
    <col min="12256" max="12256" width="8.28515625" style="4" customWidth="1"/>
    <col min="12257" max="12257" width="9.140625" style="4" customWidth="1"/>
    <col min="12258" max="12258" width="10.7109375" style="4" customWidth="1"/>
    <col min="12259" max="12259" width="13.5703125" style="4" customWidth="1"/>
    <col min="12260" max="12506" width="9.140625" style="4"/>
    <col min="12507" max="12507" width="5.7109375" style="4" customWidth="1"/>
    <col min="12508" max="12508" width="7.5703125" style="4" customWidth="1"/>
    <col min="12509" max="12509" width="39" style="4" customWidth="1"/>
    <col min="12510" max="12510" width="20.5703125" style="4" customWidth="1"/>
    <col min="12511" max="12511" width="5.7109375" style="4" customWidth="1"/>
    <col min="12512" max="12512" width="8.28515625" style="4" customWidth="1"/>
    <col min="12513" max="12513" width="9.140625" style="4" customWidth="1"/>
    <col min="12514" max="12514" width="10.7109375" style="4" customWidth="1"/>
    <col min="12515" max="12515" width="13.5703125" style="4" customWidth="1"/>
    <col min="12516" max="12762" width="9.140625" style="4"/>
    <col min="12763" max="12763" width="5.7109375" style="4" customWidth="1"/>
    <col min="12764" max="12764" width="7.5703125" style="4" customWidth="1"/>
    <col min="12765" max="12765" width="39" style="4" customWidth="1"/>
    <col min="12766" max="12766" width="20.5703125" style="4" customWidth="1"/>
    <col min="12767" max="12767" width="5.7109375" style="4" customWidth="1"/>
    <col min="12768" max="12768" width="8.28515625" style="4" customWidth="1"/>
    <col min="12769" max="12769" width="9.140625" style="4" customWidth="1"/>
    <col min="12770" max="12770" width="10.7109375" style="4" customWidth="1"/>
    <col min="12771" max="12771" width="13.5703125" style="4" customWidth="1"/>
    <col min="12772" max="13018" width="9.140625" style="4"/>
    <col min="13019" max="13019" width="5.7109375" style="4" customWidth="1"/>
    <col min="13020" max="13020" width="7.5703125" style="4" customWidth="1"/>
    <col min="13021" max="13021" width="39" style="4" customWidth="1"/>
    <col min="13022" max="13022" width="20.5703125" style="4" customWidth="1"/>
    <col min="13023" max="13023" width="5.7109375" style="4" customWidth="1"/>
    <col min="13024" max="13024" width="8.28515625" style="4" customWidth="1"/>
    <col min="13025" max="13025" width="9.140625" style="4" customWidth="1"/>
    <col min="13026" max="13026" width="10.7109375" style="4" customWidth="1"/>
    <col min="13027" max="13027" width="13.5703125" style="4" customWidth="1"/>
    <col min="13028" max="13274" width="9.140625" style="4"/>
    <col min="13275" max="13275" width="5.7109375" style="4" customWidth="1"/>
    <col min="13276" max="13276" width="7.5703125" style="4" customWidth="1"/>
    <col min="13277" max="13277" width="39" style="4" customWidth="1"/>
    <col min="13278" max="13278" width="20.5703125" style="4" customWidth="1"/>
    <col min="13279" max="13279" width="5.7109375" style="4" customWidth="1"/>
    <col min="13280" max="13280" width="8.28515625" style="4" customWidth="1"/>
    <col min="13281" max="13281" width="9.140625" style="4" customWidth="1"/>
    <col min="13282" max="13282" width="10.7109375" style="4" customWidth="1"/>
    <col min="13283" max="13283" width="13.5703125" style="4" customWidth="1"/>
    <col min="13284" max="13530" width="9.140625" style="4"/>
    <col min="13531" max="13531" width="5.7109375" style="4" customWidth="1"/>
    <col min="13532" max="13532" width="7.5703125" style="4" customWidth="1"/>
    <col min="13533" max="13533" width="39" style="4" customWidth="1"/>
    <col min="13534" max="13534" width="20.5703125" style="4" customWidth="1"/>
    <col min="13535" max="13535" width="5.7109375" style="4" customWidth="1"/>
    <col min="13536" max="13536" width="8.28515625" style="4" customWidth="1"/>
    <col min="13537" max="13537" width="9.140625" style="4" customWidth="1"/>
    <col min="13538" max="13538" width="10.7109375" style="4" customWidth="1"/>
    <col min="13539" max="13539" width="13.5703125" style="4" customWidth="1"/>
    <col min="13540" max="13786" width="9.140625" style="4"/>
    <col min="13787" max="13787" width="5.7109375" style="4" customWidth="1"/>
    <col min="13788" max="13788" width="7.5703125" style="4" customWidth="1"/>
    <col min="13789" max="13789" width="39" style="4" customWidth="1"/>
    <col min="13790" max="13790" width="20.5703125" style="4" customWidth="1"/>
    <col min="13791" max="13791" width="5.7109375" style="4" customWidth="1"/>
    <col min="13792" max="13792" width="8.28515625" style="4" customWidth="1"/>
    <col min="13793" max="13793" width="9.140625" style="4" customWidth="1"/>
    <col min="13794" max="13794" width="10.7109375" style="4" customWidth="1"/>
    <col min="13795" max="13795" width="13.5703125" style="4" customWidth="1"/>
    <col min="13796" max="14042" width="9.140625" style="4"/>
    <col min="14043" max="14043" width="5.7109375" style="4" customWidth="1"/>
    <col min="14044" max="14044" width="7.5703125" style="4" customWidth="1"/>
    <col min="14045" max="14045" width="39" style="4" customWidth="1"/>
    <col min="14046" max="14046" width="20.5703125" style="4" customWidth="1"/>
    <col min="14047" max="14047" width="5.7109375" style="4" customWidth="1"/>
    <col min="14048" max="14048" width="8.28515625" style="4" customWidth="1"/>
    <col min="14049" max="14049" width="9.140625" style="4" customWidth="1"/>
    <col min="14050" max="14050" width="10.7109375" style="4" customWidth="1"/>
    <col min="14051" max="14051" width="13.5703125" style="4" customWidth="1"/>
    <col min="14052" max="14298" width="9.140625" style="4"/>
    <col min="14299" max="14299" width="5.7109375" style="4" customWidth="1"/>
    <col min="14300" max="14300" width="7.5703125" style="4" customWidth="1"/>
    <col min="14301" max="14301" width="39" style="4" customWidth="1"/>
    <col min="14302" max="14302" width="20.5703125" style="4" customWidth="1"/>
    <col min="14303" max="14303" width="5.7109375" style="4" customWidth="1"/>
    <col min="14304" max="14304" width="8.28515625" style="4" customWidth="1"/>
    <col min="14305" max="14305" width="9.140625" style="4" customWidth="1"/>
    <col min="14306" max="14306" width="10.7109375" style="4" customWidth="1"/>
    <col min="14307" max="14307" width="13.5703125" style="4" customWidth="1"/>
    <col min="14308" max="14554" width="9.140625" style="4"/>
    <col min="14555" max="14555" width="5.7109375" style="4" customWidth="1"/>
    <col min="14556" max="14556" width="7.5703125" style="4" customWidth="1"/>
    <col min="14557" max="14557" width="39" style="4" customWidth="1"/>
    <col min="14558" max="14558" width="20.5703125" style="4" customWidth="1"/>
    <col min="14559" max="14559" width="5.7109375" style="4" customWidth="1"/>
    <col min="14560" max="14560" width="8.28515625" style="4" customWidth="1"/>
    <col min="14561" max="14561" width="9.140625" style="4" customWidth="1"/>
    <col min="14562" max="14562" width="10.7109375" style="4" customWidth="1"/>
    <col min="14563" max="14563" width="13.5703125" style="4" customWidth="1"/>
    <col min="14564" max="14810" width="9.140625" style="4"/>
    <col min="14811" max="14811" width="5.7109375" style="4" customWidth="1"/>
    <col min="14812" max="14812" width="7.5703125" style="4" customWidth="1"/>
    <col min="14813" max="14813" width="39" style="4" customWidth="1"/>
    <col min="14814" max="14814" width="20.5703125" style="4" customWidth="1"/>
    <col min="14815" max="14815" width="5.7109375" style="4" customWidth="1"/>
    <col min="14816" max="14816" width="8.28515625" style="4" customWidth="1"/>
    <col min="14817" max="14817" width="9.140625" style="4" customWidth="1"/>
    <col min="14818" max="14818" width="10.7109375" style="4" customWidth="1"/>
    <col min="14819" max="14819" width="13.5703125" style="4" customWidth="1"/>
    <col min="14820" max="15066" width="9.140625" style="4"/>
    <col min="15067" max="15067" width="5.7109375" style="4" customWidth="1"/>
    <col min="15068" max="15068" width="7.5703125" style="4" customWidth="1"/>
    <col min="15069" max="15069" width="39" style="4" customWidth="1"/>
    <col min="15070" max="15070" width="20.5703125" style="4" customWidth="1"/>
    <col min="15071" max="15071" width="5.7109375" style="4" customWidth="1"/>
    <col min="15072" max="15072" width="8.28515625" style="4" customWidth="1"/>
    <col min="15073" max="15073" width="9.140625" style="4" customWidth="1"/>
    <col min="15074" max="15074" width="10.7109375" style="4" customWidth="1"/>
    <col min="15075" max="15075" width="13.5703125" style="4" customWidth="1"/>
    <col min="15076" max="15322" width="9.140625" style="4"/>
    <col min="15323" max="15323" width="5.7109375" style="4" customWidth="1"/>
    <col min="15324" max="15324" width="7.5703125" style="4" customWidth="1"/>
    <col min="15325" max="15325" width="39" style="4" customWidth="1"/>
    <col min="15326" max="15326" width="20.5703125" style="4" customWidth="1"/>
    <col min="15327" max="15327" width="5.7109375" style="4" customWidth="1"/>
    <col min="15328" max="15328" width="8.28515625" style="4" customWidth="1"/>
    <col min="15329" max="15329" width="9.140625" style="4" customWidth="1"/>
    <col min="15330" max="15330" width="10.7109375" style="4" customWidth="1"/>
    <col min="15331" max="15331" width="13.5703125" style="4" customWidth="1"/>
    <col min="15332" max="15578" width="9.140625" style="4"/>
    <col min="15579" max="15579" width="5.7109375" style="4" customWidth="1"/>
    <col min="15580" max="15580" width="7.5703125" style="4" customWidth="1"/>
    <col min="15581" max="15581" width="39" style="4" customWidth="1"/>
    <col min="15582" max="15582" width="20.5703125" style="4" customWidth="1"/>
    <col min="15583" max="15583" width="5.7109375" style="4" customWidth="1"/>
    <col min="15584" max="15584" width="8.28515625" style="4" customWidth="1"/>
    <col min="15585" max="15585" width="9.140625" style="4" customWidth="1"/>
    <col min="15586" max="15586" width="10.7109375" style="4" customWidth="1"/>
    <col min="15587" max="15587" width="13.5703125" style="4" customWidth="1"/>
    <col min="15588" max="15834" width="9.140625" style="4"/>
    <col min="15835" max="15835" width="5.7109375" style="4" customWidth="1"/>
    <col min="15836" max="15836" width="7.5703125" style="4" customWidth="1"/>
    <col min="15837" max="15837" width="39" style="4" customWidth="1"/>
    <col min="15838" max="15838" width="20.5703125" style="4" customWidth="1"/>
    <col min="15839" max="15839" width="5.7109375" style="4" customWidth="1"/>
    <col min="15840" max="15840" width="8.28515625" style="4" customWidth="1"/>
    <col min="15841" max="15841" width="9.140625" style="4" customWidth="1"/>
    <col min="15842" max="15842" width="10.7109375" style="4" customWidth="1"/>
    <col min="15843" max="15843" width="13.5703125" style="4" customWidth="1"/>
    <col min="15844" max="16090" width="9.140625" style="4"/>
    <col min="16091" max="16091" width="5.7109375" style="4" customWidth="1"/>
    <col min="16092" max="16092" width="7.5703125" style="4" customWidth="1"/>
    <col min="16093" max="16093" width="39" style="4" customWidth="1"/>
    <col min="16094" max="16094" width="20.5703125" style="4" customWidth="1"/>
    <col min="16095" max="16095" width="5.7109375" style="4" customWidth="1"/>
    <col min="16096" max="16096" width="8.28515625" style="4" customWidth="1"/>
    <col min="16097" max="16097" width="9.140625" style="4" customWidth="1"/>
    <col min="16098" max="16098" width="10.7109375" style="4" customWidth="1"/>
    <col min="16099" max="16099" width="13.5703125" style="4" customWidth="1"/>
    <col min="16100" max="16384" width="9.140625" style="4"/>
  </cols>
  <sheetData>
    <row r="1" spans="1:5" ht="20.25">
      <c r="A1" s="134" t="s">
        <v>38</v>
      </c>
      <c r="B1" s="134"/>
      <c r="C1" s="134"/>
      <c r="D1" s="134"/>
      <c r="E1" s="134"/>
    </row>
    <row r="2" spans="1:5" ht="20.25">
      <c r="A2" s="134" t="s">
        <v>39</v>
      </c>
      <c r="B2" s="134"/>
      <c r="C2" s="134"/>
      <c r="D2" s="134"/>
      <c r="E2" s="134"/>
    </row>
    <row r="3" spans="1:5" ht="18.75">
      <c r="A3" s="135" t="s">
        <v>1</v>
      </c>
      <c r="B3" s="135"/>
      <c r="C3" s="135"/>
      <c r="D3" s="135"/>
      <c r="E3" s="135"/>
    </row>
    <row r="4" spans="1:5" ht="18.75">
      <c r="A4" s="135" t="s">
        <v>2</v>
      </c>
      <c r="B4" s="135"/>
      <c r="C4" s="135"/>
      <c r="D4" s="135"/>
      <c r="E4" s="135"/>
    </row>
    <row r="5" spans="1:5" ht="18.75">
      <c r="A5" s="135" t="s">
        <v>3</v>
      </c>
      <c r="B5" s="135"/>
      <c r="C5" s="135"/>
      <c r="D5" s="135"/>
      <c r="E5" s="135"/>
    </row>
    <row r="6" spans="1:5" ht="18.75">
      <c r="A6" s="136" t="s">
        <v>4</v>
      </c>
      <c r="B6" s="136"/>
      <c r="C6" s="136"/>
      <c r="D6" s="136"/>
      <c r="E6" s="136"/>
    </row>
    <row r="7" spans="1:5" ht="15.75">
      <c r="A7" s="137" t="s">
        <v>40</v>
      </c>
      <c r="B7" s="137"/>
      <c r="C7" s="137"/>
      <c r="D7" s="137"/>
      <c r="E7" s="137"/>
    </row>
    <row r="8" spans="1:5" ht="15.75">
      <c r="A8" s="138" t="s">
        <v>41</v>
      </c>
      <c r="B8" s="138"/>
      <c r="C8" s="138"/>
      <c r="D8" s="138"/>
      <c r="E8" s="138"/>
    </row>
    <row r="9" spans="1:5" ht="15.75">
      <c r="A9" s="7"/>
      <c r="B9" s="7"/>
      <c r="C9" s="7"/>
      <c r="D9" s="7"/>
      <c r="E9" s="7"/>
    </row>
    <row r="10" spans="1:5" ht="15.75">
      <c r="A10" s="8" t="s">
        <v>8</v>
      </c>
      <c r="B10" s="9"/>
      <c r="C10" s="10"/>
      <c r="D10" s="128" t="s">
        <v>10</v>
      </c>
      <c r="E10" s="128" t="s">
        <v>43</v>
      </c>
    </row>
    <row r="11" spans="1:5" ht="15.75">
      <c r="A11" s="9" t="s">
        <v>12</v>
      </c>
      <c r="B11" s="9" t="s">
        <v>44</v>
      </c>
      <c r="C11" s="10"/>
      <c r="D11" s="11"/>
      <c r="E11" s="11"/>
    </row>
    <row r="12" spans="1:5" ht="15.75">
      <c r="A12" s="9"/>
      <c r="B12" s="9" t="s">
        <v>14</v>
      </c>
      <c r="C12" s="10"/>
      <c r="D12" s="11"/>
      <c r="E12" s="11"/>
    </row>
    <row r="13" spans="1:5" ht="15.75">
      <c r="A13" s="9"/>
      <c r="B13" s="9"/>
      <c r="C13" s="10"/>
      <c r="D13" s="11"/>
      <c r="E13" s="11"/>
    </row>
    <row r="14" spans="1:5" ht="15.75">
      <c r="A14" s="9" t="s">
        <v>15</v>
      </c>
      <c r="B14" s="9"/>
      <c r="C14" s="10"/>
      <c r="D14" s="11"/>
      <c r="E14" s="11"/>
    </row>
    <row r="15" spans="1:5" ht="15.75">
      <c r="A15" s="9" t="s">
        <v>16</v>
      </c>
      <c r="B15" s="9"/>
      <c r="C15" s="10"/>
      <c r="D15" s="11"/>
      <c r="E15" s="11"/>
    </row>
    <row r="16" spans="1:5" ht="15.75">
      <c r="A16" s="9"/>
      <c r="B16" s="9"/>
      <c r="C16" s="10"/>
      <c r="D16" s="11"/>
      <c r="E16" s="11"/>
    </row>
    <row r="17" spans="1:5" ht="48" customHeight="1">
      <c r="A17" s="139" t="s">
        <v>45</v>
      </c>
      <c r="B17" s="139"/>
      <c r="C17" s="139"/>
      <c r="D17" s="139"/>
      <c r="E17" s="139"/>
    </row>
    <row r="18" spans="1:5" ht="15.75">
      <c r="A18" s="12"/>
      <c r="B18" s="12"/>
      <c r="C18" s="13"/>
      <c r="D18" s="11"/>
      <c r="E18" s="11"/>
    </row>
    <row r="19" spans="1:5" s="1" customFormat="1" ht="15" customHeight="1">
      <c r="A19" s="14" t="s">
        <v>18</v>
      </c>
      <c r="B19" s="14" t="s">
        <v>19</v>
      </c>
      <c r="C19" s="14" t="s">
        <v>20</v>
      </c>
      <c r="D19" s="15" t="s">
        <v>21</v>
      </c>
      <c r="E19" s="16" t="s">
        <v>22</v>
      </c>
    </row>
    <row r="20" spans="1:5" s="2" customFormat="1" ht="42.75">
      <c r="A20" s="17">
        <v>1</v>
      </c>
      <c r="B20" s="18" t="s">
        <v>46</v>
      </c>
      <c r="C20" s="19" t="s">
        <v>47</v>
      </c>
      <c r="D20" s="20"/>
      <c r="E20" s="21">
        <v>28825000</v>
      </c>
    </row>
    <row r="21" spans="1:5" s="3" customFormat="1" ht="17.25" customHeight="1">
      <c r="A21" s="22"/>
      <c r="B21" s="23" t="s">
        <v>48</v>
      </c>
      <c r="C21" s="24"/>
      <c r="D21" s="25" t="e">
        <f>#REF!*#REF!</f>
        <v>#REF!</v>
      </c>
      <c r="E21" s="26">
        <v>450000</v>
      </c>
    </row>
    <row r="22" spans="1:5" s="3" customFormat="1" ht="17.25" customHeight="1">
      <c r="A22" s="22"/>
      <c r="B22" s="23" t="s">
        <v>49</v>
      </c>
      <c r="C22" s="27"/>
      <c r="D22" s="28" t="e">
        <f>#REF!*#REF!</f>
        <v>#REF!</v>
      </c>
      <c r="E22" s="26">
        <v>750000</v>
      </c>
    </row>
    <row r="23" spans="1:5" s="3" customFormat="1" ht="31.5">
      <c r="A23" s="22"/>
      <c r="B23" s="23" t="s">
        <v>50</v>
      </c>
      <c r="C23" s="27"/>
      <c r="D23" s="28"/>
      <c r="E23" s="26">
        <v>1500000</v>
      </c>
    </row>
    <row r="24" spans="1:5" s="3" customFormat="1" ht="31.5">
      <c r="A24" s="22"/>
      <c r="B24" s="23" t="s">
        <v>51</v>
      </c>
      <c r="C24" s="27"/>
      <c r="D24" s="28"/>
      <c r="E24" s="26">
        <v>4250000</v>
      </c>
    </row>
    <row r="25" spans="1:5" s="3" customFormat="1" ht="15.75">
      <c r="A25" s="22"/>
      <c r="B25" s="23" t="s">
        <v>52</v>
      </c>
      <c r="C25" s="27"/>
      <c r="D25" s="28"/>
      <c r="E25" s="26">
        <v>75000</v>
      </c>
    </row>
    <row r="26" spans="1:5" s="3" customFormat="1" ht="15.75">
      <c r="A26" s="22"/>
      <c r="B26" s="23" t="s">
        <v>53</v>
      </c>
      <c r="C26" s="27"/>
      <c r="D26" s="28"/>
      <c r="E26" s="26">
        <v>900000</v>
      </c>
    </row>
    <row r="27" spans="1:5" s="3" customFormat="1" ht="18.75" customHeight="1">
      <c r="A27" s="22"/>
      <c r="B27" s="23" t="s">
        <v>54</v>
      </c>
      <c r="C27" s="27"/>
      <c r="D27" s="28"/>
      <c r="E27" s="26">
        <v>3200000</v>
      </c>
    </row>
    <row r="28" spans="1:5" s="3" customFormat="1" ht="15.75">
      <c r="A28" s="22"/>
      <c r="B28" s="23" t="s">
        <v>55</v>
      </c>
      <c r="C28" s="27"/>
      <c r="D28" s="28"/>
      <c r="E28" s="26">
        <v>600000</v>
      </c>
    </row>
    <row r="29" spans="1:5" s="3" customFormat="1" ht="15.75">
      <c r="A29" s="22"/>
      <c r="B29" s="23" t="s">
        <v>56</v>
      </c>
      <c r="C29" s="27"/>
      <c r="D29" s="28"/>
      <c r="E29" s="26">
        <v>900000</v>
      </c>
    </row>
    <row r="30" spans="1:5" s="3" customFormat="1" ht="16.5" customHeight="1">
      <c r="A30" s="22"/>
      <c r="B30" s="23" t="s">
        <v>57</v>
      </c>
      <c r="C30" s="27"/>
      <c r="D30" s="28"/>
      <c r="E30" s="26">
        <v>1000000</v>
      </c>
    </row>
    <row r="31" spans="1:5" s="3" customFormat="1" ht="15.75">
      <c r="A31" s="22"/>
      <c r="B31" s="23" t="s">
        <v>58</v>
      </c>
      <c r="C31" s="27"/>
      <c r="D31" s="28"/>
      <c r="E31" s="26">
        <v>7500000</v>
      </c>
    </row>
    <row r="32" spans="1:5" s="3" customFormat="1" ht="15.75">
      <c r="A32" s="22"/>
      <c r="B32" s="23" t="s">
        <v>59</v>
      </c>
      <c r="C32" s="27"/>
      <c r="D32" s="28"/>
      <c r="E32" s="26">
        <v>4500000</v>
      </c>
    </row>
    <row r="33" spans="1:6" s="3" customFormat="1" ht="15.75">
      <c r="A33" s="22"/>
      <c r="B33" s="23" t="s">
        <v>60</v>
      </c>
      <c r="C33" s="27"/>
      <c r="D33" s="28"/>
      <c r="E33" s="26">
        <v>3200000</v>
      </c>
    </row>
    <row r="34" spans="1:6" s="2" customFormat="1" ht="14.25"/>
    <row r="35" spans="1:6" s="2" customFormat="1" ht="14.25"/>
    <row r="36" spans="1:6" s="2" customFormat="1" ht="14.25"/>
    <row r="37" spans="1:6" s="2" customFormat="1" ht="14.25"/>
    <row r="38" spans="1:6" s="3" customFormat="1"/>
    <row r="39" spans="1:6" s="3" customFormat="1"/>
    <row r="40" spans="1:6" s="3" customFormat="1"/>
    <row r="41" spans="1:6">
      <c r="C41" s="4"/>
      <c r="D41" s="4"/>
      <c r="E41" s="4"/>
    </row>
    <row r="42" spans="1:6" ht="42.75">
      <c r="A42" s="17">
        <v>2</v>
      </c>
      <c r="B42" s="18" t="s">
        <v>61</v>
      </c>
      <c r="C42" s="19" t="s">
        <v>62</v>
      </c>
      <c r="D42" s="29"/>
      <c r="E42" s="30">
        <v>1680000</v>
      </c>
    </row>
    <row r="43" spans="1:6" ht="15.75">
      <c r="A43" s="22"/>
      <c r="B43" s="31" t="s">
        <v>63</v>
      </c>
      <c r="C43" s="32"/>
      <c r="D43" s="28" t="e">
        <f>#REF!*#REF!</f>
        <v>#REF!</v>
      </c>
      <c r="E43" s="33">
        <v>225000</v>
      </c>
    </row>
    <row r="44" spans="1:6" ht="15.75">
      <c r="A44" s="22"/>
      <c r="B44" s="34" t="s">
        <v>64</v>
      </c>
      <c r="C44" s="32"/>
      <c r="D44" s="28" t="e">
        <f>#REF!*#REF!</f>
        <v>#REF!</v>
      </c>
      <c r="E44" s="33">
        <v>1260000</v>
      </c>
    </row>
    <row r="45" spans="1:6" ht="15.75">
      <c r="A45" s="22"/>
      <c r="B45" s="34" t="s">
        <v>27</v>
      </c>
      <c r="C45" s="32"/>
      <c r="D45" s="28"/>
      <c r="E45" s="33">
        <v>195000</v>
      </c>
      <c r="F45" s="6"/>
    </row>
    <row r="46" spans="1:6" ht="15.75">
      <c r="A46" s="35"/>
      <c r="B46" s="36" t="s">
        <v>21</v>
      </c>
      <c r="C46" s="37"/>
      <c r="D46" s="38"/>
      <c r="E46" s="39">
        <f>E42+E20</f>
        <v>30505000</v>
      </c>
      <c r="F46" s="6"/>
    </row>
    <row r="47" spans="1:6" ht="15.75">
      <c r="A47" s="12"/>
      <c r="B47" s="12"/>
      <c r="C47" s="13"/>
      <c r="D47" s="11"/>
      <c r="E47" s="11"/>
      <c r="F47" s="6"/>
    </row>
    <row r="48" spans="1:6" ht="15.75">
      <c r="A48" s="9" t="s">
        <v>29</v>
      </c>
      <c r="B48" s="12"/>
      <c r="C48" s="13"/>
      <c r="D48" s="11"/>
      <c r="E48" s="11"/>
      <c r="F48" s="6"/>
    </row>
    <row r="49" spans="1:6" ht="15.75">
      <c r="A49" s="9"/>
      <c r="B49" s="12"/>
      <c r="C49" s="13"/>
      <c r="D49" s="11"/>
      <c r="E49" s="11"/>
      <c r="F49" s="6"/>
    </row>
    <row r="50" spans="1:6" ht="15.75">
      <c r="A50" s="9"/>
      <c r="B50" s="12"/>
      <c r="C50" s="40" t="s">
        <v>65</v>
      </c>
      <c r="D50" s="12"/>
      <c r="E50" s="11"/>
      <c r="F50" s="41"/>
    </row>
    <row r="51" spans="1:6" ht="15.75">
      <c r="A51" s="12"/>
      <c r="B51" s="12"/>
      <c r="C51" s="40"/>
      <c r="D51" s="12"/>
      <c r="E51" s="11"/>
    </row>
    <row r="52" spans="1:6" ht="15.75">
      <c r="A52" s="12"/>
      <c r="B52" s="12"/>
      <c r="C52" s="40"/>
      <c r="D52" s="12"/>
      <c r="E52" s="11"/>
    </row>
    <row r="53" spans="1:6" ht="15.75">
      <c r="A53" s="12"/>
      <c r="B53" s="12"/>
      <c r="C53" s="12"/>
      <c r="D53" s="12"/>
      <c r="E53" s="11"/>
    </row>
    <row r="54" spans="1:6" ht="15.75">
      <c r="A54" s="12"/>
      <c r="B54" s="12"/>
      <c r="C54" s="42" t="s">
        <v>66</v>
      </c>
      <c r="D54" s="12"/>
      <c r="E54" s="11"/>
    </row>
    <row r="55" spans="1:6" ht="15.75">
      <c r="A55" s="12"/>
      <c r="B55" s="12"/>
      <c r="C55" s="43" t="s">
        <v>67</v>
      </c>
      <c r="D55" s="43"/>
      <c r="E55" s="43"/>
    </row>
  </sheetData>
  <mergeCells count="9">
    <mergeCell ref="A6:E6"/>
    <mergeCell ref="A7:E7"/>
    <mergeCell ref="A8:E8"/>
    <mergeCell ref="A17:E17"/>
    <mergeCell ref="A1:E1"/>
    <mergeCell ref="A2:E2"/>
    <mergeCell ref="A3:E3"/>
    <mergeCell ref="A4:E4"/>
    <mergeCell ref="A5:E5"/>
  </mergeCells>
  <hyperlinks>
    <hyperlink ref="A8" r:id="rId1"/>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Visitasi Akreditasi</vt:lpstr>
      <vt:lpstr>Semnas &amp; AMI</vt:lpstr>
      <vt:lpstr>OPERASIONAL</vt:lpstr>
      <vt:lpstr>REKAP</vt:lpstr>
      <vt:lpstr>NOV-DES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ACER</cp:lastModifiedBy>
  <cp:lastPrinted>2026-08-12T08:37:00Z</cp:lastPrinted>
  <dcterms:created xsi:type="dcterms:W3CDTF">2023-06-19T03:03:00Z</dcterms:created>
  <dcterms:modified xsi:type="dcterms:W3CDTF">2026-09-15T04:58:03Z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22619F204A424AB1AA91561233ED1B44_12</vt:lpwstr>
  </property>
  <property fmtid="{D5CDD505-2E9C-101B-9397-08002B2CF9AE}" pid="3" name="KSOProductBuildVer">
    <vt:lpwstr>1033-12.1.0.28032</vt:lpwstr>
  </property>
  <property fmtid="{D5CDD505-2E9C-101B-9397-08002B2CF9AE}" pid="4" name="CalculationRule">
    <vt:i4>0</vt:i4>
  </property>
</Properties>
</file>